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FMEA Template" sheetId="1" state="visible" r:id="rId1"/>
    <sheet xmlns:r="http://schemas.openxmlformats.org/officeDocument/2006/relationships" name="Rating Scales" sheetId="2" state="visible" r:id="rId2"/>
    <sheet xmlns:r="http://schemas.openxmlformats.org/officeDocument/2006/relationships" name="Instructions" sheetId="3" state="visible" r:id="rId3"/>
    <sheet xmlns:r="http://schemas.openxmlformats.org/officeDocument/2006/relationships" name="Action Tracker" sheetId="4" state="visible" r:id="rId4"/>
    <sheet xmlns:r="http://schemas.openxmlformats.org/officeDocument/2006/relationships" name="Summary Dashboard" sheetId="5" state="visible" r:id="rId5"/>
  </sheets>
  <definedNames>
    <definedName name="_xlnm._FilterDatabase" localSheetId="0" hidden="1">'DFMEA Template'!$A$8:$AE$108</definedName>
    <definedName name="_xlnm._FilterDatabase" localSheetId="3" hidden="1">'Action Tracker'!$A$1:$J$51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b val="1"/>
      <color rgb="00FFFFFF"/>
    </font>
    <font>
      <b val="1"/>
      <color rgb="00FFFFFF"/>
      <sz val="14"/>
    </font>
  </fonts>
  <fills count="6">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CE4D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2" borderId="1" applyAlignment="1" pivotButton="0" quotePrefix="0" xfId="0">
      <alignment horizontal="center" vertical="center" wrapText="1"/>
    </xf>
    <xf numFmtId="0" fontId="0" fillId="0"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4" fillId="2"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center" wrapText="1"/>
    </xf>
  </cellXfs>
  <cellStyles count="1">
    <cellStyle name="Normal" xfId="0" builtinId="0" hidden="0"/>
  </cellStyles>
  <dxfs count="3">
    <dxf>
      <fill>
        <patternFill patternType="solid">
          <fgColor rgb="00F4CCCC"/>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M365 Copilot</author>
  </authors>
  <commentList>
    <comment ref="E8" authorId="0" shapeId="0">
      <text>
        <t>Severity rating: 1=no effect, 10=hazardous / regulatory / safety critical. Usually not reduced unless design requirement or system architecture changes.</t>
      </text>
    </comment>
    <comment ref="I8" authorId="0" shapeId="0">
      <text>
        <t>Occurrence rating: likelihood/frequency of the cause/mechanism occurring in design life.</t>
      </text>
    </comment>
    <comment ref="K8" authorId="0" shapeId="0">
      <text>
        <t>Detection rating: ability of current controls to detect failure mode/cause before release. 1=almost certain detection, 10=no detection.</t>
      </text>
    </comment>
    <comment ref="L8" authorId="0" shapeId="0">
      <text>
        <t>Legacy risk priority number. Use with engineering judgement; do not rely only on RPN.</t>
      </text>
    </comment>
    <comment ref="M8" authorId="0" shapeId="0">
      <text>
        <t>Simplified action priority based on Severity and RPN thresholds. Customize per customer/AIAG-VDA rules if required.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E108"/>
  <sheetViews>
    <sheetView workbookViewId="0">
      <pane ySplit="8" topLeftCell="A9" activePane="bottomLeft" state="frozen"/>
      <selection pane="bottomLeft" activeCell="A1" sqref="A1"/>
    </sheetView>
  </sheetViews>
  <sheetFormatPr baseColWidth="8" defaultRowHeight="15"/>
  <cols>
    <col width="20" customWidth="1" min="1" max="1"/>
    <col width="28" customWidth="1" min="2" max="2"/>
    <col width="28" customWidth="1" min="3" max="3"/>
    <col width="32" customWidth="1" min="4" max="4"/>
    <col width="12" customWidth="1" min="5" max="5"/>
    <col width="18" customWidth="1" min="6" max="6"/>
    <col width="30" customWidth="1" min="7" max="7"/>
    <col width="28" customWidth="1" min="8" max="8"/>
    <col width="12" customWidth="1" min="9" max="9"/>
    <col width="28" customWidth="1" min="10" max="10"/>
    <col width="12" customWidth="1" min="11" max="11"/>
    <col width="14" customWidth="1" min="12" max="12"/>
    <col width="16" customWidth="1" min="13" max="13"/>
    <col width="32" customWidth="1" min="14" max="14"/>
    <col width="18" customWidth="1" min="15" max="15"/>
    <col width="18" customWidth="1" min="16" max="16"/>
    <col width="16" customWidth="1" min="17" max="17"/>
    <col width="32" customWidth="1" min="18" max="18"/>
    <col width="18" customWidth="1" min="19" max="19"/>
    <col width="14" customWidth="1" min="20" max="20"/>
    <col width="14" customWidth="1" min="21" max="21"/>
    <col width="14" customWidth="1" min="22" max="22"/>
    <col width="14" customWidth="1" min="23" max="23"/>
    <col width="24" customWidth="1" min="24" max="24"/>
    <col width="28" customWidth="1" min="25" max="25"/>
    <col width="18" customWidth="1" min="26" max="26"/>
    <col width="18" customWidth="1" min="27" max="27"/>
    <col width="18" customWidth="1" min="28" max="28"/>
    <col width="20" customWidth="1" min="29" max="29"/>
    <col width="20" customWidth="1" min="30" max="30"/>
    <col width="20" customWidth="1" min="31" max="31"/>
  </cols>
  <sheetData>
    <row r="1">
      <c r="A1" s="1" t="inlineStr">
        <is>
          <t>Design Failure Mode and Effects Analysis (DFMEA) Template</t>
        </is>
      </c>
    </row>
    <row r="3">
      <c r="A3" s="2" t="inlineStr">
        <is>
          <t>Project / Program</t>
        </is>
      </c>
      <c r="C3" t="inlineStr"/>
      <c r="E3" s="2" t="inlineStr">
        <is>
          <t>Product / System</t>
        </is>
      </c>
      <c r="G3" t="inlineStr"/>
      <c r="I3" s="2" t="inlineStr">
        <is>
          <t>DFMEA No.</t>
        </is>
      </c>
      <c r="K3" t="inlineStr"/>
    </row>
    <row r="4">
      <c r="A4" s="2" t="inlineStr">
        <is>
          <t>Customer</t>
        </is>
      </c>
      <c r="C4" t="inlineStr"/>
      <c r="E4" s="2" t="inlineStr">
        <is>
          <t>Design Owner</t>
        </is>
      </c>
      <c r="G4" t="inlineStr"/>
      <c r="I4" s="2" t="inlineStr">
        <is>
          <t>Revision</t>
        </is>
      </c>
      <c r="K4" t="inlineStr"/>
    </row>
    <row r="5">
      <c r="A5" s="2" t="inlineStr">
        <is>
          <t>Prepared By</t>
        </is>
      </c>
      <c r="C5" t="inlineStr"/>
      <c r="E5" s="2" t="inlineStr">
        <is>
          <t>Reviewed By</t>
        </is>
      </c>
      <c r="G5" t="inlineStr"/>
      <c r="I5" s="2" t="inlineStr">
        <is>
          <t>Date</t>
        </is>
      </c>
      <c r="K5" t="inlineStr"/>
    </row>
    <row r="6">
      <c r="A6" s="2" t="inlineStr">
        <is>
          <t>Confidentiality</t>
        </is>
      </c>
      <c r="C6" t="inlineStr">
        <is>
          <t>Internal / Customer</t>
        </is>
      </c>
      <c r="E6" s="2" t="inlineStr">
        <is>
          <t>Scope Boundary</t>
        </is>
      </c>
      <c r="G6" t="inlineStr"/>
      <c r="I6" s="2" t="inlineStr">
        <is>
          <t>Status</t>
        </is>
      </c>
      <c r="K6" t="inlineStr">
        <is>
          <t>Draft</t>
        </is>
      </c>
    </row>
    <row r="8" ht="45" customHeight="1">
      <c r="A8" s="3" t="inlineStr">
        <is>
          <t>Item / Component</t>
        </is>
      </c>
      <c r="B8" s="3" t="inlineStr">
        <is>
          <t>Function / Requirement</t>
        </is>
      </c>
      <c r="C8" s="3" t="inlineStr">
        <is>
          <t>Potential Failure Mode</t>
        </is>
      </c>
      <c r="D8" s="3" t="inlineStr">
        <is>
          <t>Potential Effects of Failure</t>
        </is>
      </c>
      <c r="E8" s="3" t="inlineStr">
        <is>
          <t>Severity (S)</t>
        </is>
      </c>
      <c r="F8" s="3" t="inlineStr">
        <is>
          <t>Classification / Special Characteristic</t>
        </is>
      </c>
      <c r="G8" s="3" t="inlineStr">
        <is>
          <t>Potential Causes / Mechanisms</t>
        </is>
      </c>
      <c r="H8" s="3" t="inlineStr">
        <is>
          <t>Prevention Controls</t>
        </is>
      </c>
      <c r="I8" s="3" t="inlineStr">
        <is>
          <t>Occurrence (O)</t>
        </is>
      </c>
      <c r="J8" s="3" t="inlineStr">
        <is>
          <t>Detection Controls</t>
        </is>
      </c>
      <c r="K8" s="3" t="inlineStr">
        <is>
          <t>Detection (D)</t>
        </is>
      </c>
      <c r="L8" s="3" t="inlineStr">
        <is>
          <t>RPN = S×O×D</t>
        </is>
      </c>
      <c r="M8" s="3" t="inlineStr">
        <is>
          <t>Action Priority</t>
        </is>
      </c>
      <c r="N8" s="3" t="inlineStr">
        <is>
          <t>Recommended Actions</t>
        </is>
      </c>
      <c r="O8" s="3" t="inlineStr">
        <is>
          <t>Responsibility</t>
        </is>
      </c>
      <c r="P8" s="3" t="inlineStr">
        <is>
          <t>Target Completion Date</t>
        </is>
      </c>
      <c r="Q8" s="3" t="inlineStr">
        <is>
          <t>Action Status</t>
        </is>
      </c>
      <c r="R8" s="3" t="inlineStr">
        <is>
          <t>Actions Taken / Evidence</t>
        </is>
      </c>
      <c r="S8" s="3" t="inlineStr">
        <is>
          <t>Completion Date</t>
        </is>
      </c>
      <c r="T8" s="3" t="inlineStr">
        <is>
          <t>Revised Severity</t>
        </is>
      </c>
      <c r="U8" s="3" t="inlineStr">
        <is>
          <t>Revised Occurrence</t>
        </is>
      </c>
      <c r="V8" s="3" t="inlineStr">
        <is>
          <t>Revised Detection</t>
        </is>
      </c>
      <c r="W8" s="3" t="inlineStr">
        <is>
          <t>Revised RPN</t>
        </is>
      </c>
      <c r="X8" s="3" t="inlineStr">
        <is>
          <t>Residual Risk Decision</t>
        </is>
      </c>
      <c r="Y8" s="3" t="inlineStr">
        <is>
          <t>Lessons Learned / Reuse Notes</t>
        </is>
      </c>
      <c r="Z8" s="3" t="inlineStr">
        <is>
          <t>Linked Requirement ID</t>
        </is>
      </c>
      <c r="AA8" s="3" t="inlineStr">
        <is>
          <t>Drawing / CAD Ref.</t>
        </is>
      </c>
      <c r="AB8" s="3" t="inlineStr">
        <is>
          <t>Test / Validation Ref.</t>
        </is>
      </c>
      <c r="AC8" s="3" t="inlineStr">
        <is>
          <t>Change Request / ECO Ref.</t>
        </is>
      </c>
      <c r="AD8" s="3" t="inlineStr">
        <is>
          <t>Supplier / Interface</t>
        </is>
      </c>
      <c r="AE8" s="3" t="inlineStr">
        <is>
          <t>Remarks</t>
        </is>
      </c>
    </row>
    <row r="9">
      <c r="A9" s="4" t="n"/>
      <c r="B9" s="4" t="n"/>
      <c r="C9" s="4" t="n"/>
      <c r="D9" s="4" t="n"/>
      <c r="E9" s="5" t="n"/>
      <c r="F9" s="4" t="n"/>
      <c r="G9" s="4" t="n"/>
      <c r="H9" s="4" t="n"/>
      <c r="I9" s="5" t="n"/>
      <c r="J9" s="4" t="n"/>
      <c r="K9" s="5" t="n"/>
      <c r="L9" s="6">
        <f>IF(OR(E9="",I9="",K9=""),"",E9*I9*K9)</f>
        <v/>
      </c>
      <c r="M9" s="6">
        <f>IF(L9="","",IF(OR(E9&gt;=9,L9&gt;=200),"High",IF(L9&gt;=100,"Medium","Low")))</f>
        <v/>
      </c>
      <c r="N9" s="4" t="n"/>
      <c r="O9" s="4" t="n"/>
      <c r="P9" s="4" t="n"/>
      <c r="Q9" s="4" t="n"/>
      <c r="R9" s="4" t="n"/>
      <c r="S9" s="4" t="n"/>
      <c r="T9" s="5" t="n"/>
      <c r="U9" s="5" t="n"/>
      <c r="V9" s="5" t="n"/>
      <c r="W9" s="6">
        <f>IF(OR(T9="",U9="",V9=""),"",T9*U9*V9)</f>
        <v/>
      </c>
      <c r="X9" s="6">
        <f>IF(W9="","",IF(OR(T9&gt;=9,W9&gt;=200),"Accept with Management Approval",IF(W9&gt;=100,"Action / Monitor","Accept")))</f>
        <v/>
      </c>
      <c r="Y9" s="4" t="n"/>
      <c r="Z9" s="4" t="n"/>
      <c r="AA9" s="4" t="n"/>
      <c r="AB9" s="4" t="n"/>
      <c r="AC9" s="4" t="n"/>
      <c r="AD9" s="4" t="n"/>
      <c r="AE9" s="4" t="n"/>
    </row>
    <row r="10">
      <c r="A10" s="4" t="n"/>
      <c r="B10" s="4" t="n"/>
      <c r="C10" s="4" t="n"/>
      <c r="D10" s="4" t="n"/>
      <c r="E10" s="5" t="n"/>
      <c r="F10" s="4" t="n"/>
      <c r="G10" s="4" t="n"/>
      <c r="H10" s="4" t="n"/>
      <c r="I10" s="5" t="n"/>
      <c r="J10" s="4" t="n"/>
      <c r="K10" s="5" t="n"/>
      <c r="L10" s="6">
        <f>IF(OR(E10="",I10="",K10=""),"",E10*I10*K10)</f>
        <v/>
      </c>
      <c r="M10" s="6">
        <f>IF(L10="","",IF(OR(E10&gt;=9,L10&gt;=200),"High",IF(L10&gt;=100,"Medium","Low")))</f>
        <v/>
      </c>
      <c r="N10" s="4" t="n"/>
      <c r="O10" s="4" t="n"/>
      <c r="P10" s="4" t="n"/>
      <c r="Q10" s="4" t="n"/>
      <c r="R10" s="4" t="n"/>
      <c r="S10" s="4" t="n"/>
      <c r="T10" s="5" t="n"/>
      <c r="U10" s="5" t="n"/>
      <c r="V10" s="5" t="n"/>
      <c r="W10" s="6">
        <f>IF(OR(T10="",U10="",V10=""),"",T10*U10*V10)</f>
        <v/>
      </c>
      <c r="X10" s="6">
        <f>IF(W10="","",IF(OR(T10&gt;=9,W10&gt;=200),"Accept with Management Approval",IF(W10&gt;=100,"Action / Monitor","Accept")))</f>
        <v/>
      </c>
      <c r="Y10" s="4" t="n"/>
      <c r="Z10" s="4" t="n"/>
      <c r="AA10" s="4" t="n"/>
      <c r="AB10" s="4" t="n"/>
      <c r="AC10" s="4" t="n"/>
      <c r="AD10" s="4" t="n"/>
      <c r="AE10" s="4" t="n"/>
    </row>
    <row r="11">
      <c r="A11" s="4" t="n"/>
      <c r="B11" s="4" t="n"/>
      <c r="C11" s="4" t="n"/>
      <c r="D11" s="4" t="n"/>
      <c r="E11" s="5" t="n"/>
      <c r="F11" s="4" t="n"/>
      <c r="G11" s="4" t="n"/>
      <c r="H11" s="4" t="n"/>
      <c r="I11" s="5" t="n"/>
      <c r="J11" s="4" t="n"/>
      <c r="K11" s="5" t="n"/>
      <c r="L11" s="6">
        <f>IF(OR(E11="",I11="",K11=""),"",E11*I11*K11)</f>
        <v/>
      </c>
      <c r="M11" s="6">
        <f>IF(L11="","",IF(OR(E11&gt;=9,L11&gt;=200),"High",IF(L11&gt;=100,"Medium","Low")))</f>
        <v/>
      </c>
      <c r="N11" s="4" t="n"/>
      <c r="O11" s="4" t="n"/>
      <c r="P11" s="4" t="n"/>
      <c r="Q11" s="4" t="n"/>
      <c r="R11" s="4" t="n"/>
      <c r="S11" s="4" t="n"/>
      <c r="T11" s="5" t="n"/>
      <c r="U11" s="5" t="n"/>
      <c r="V11" s="5" t="n"/>
      <c r="W11" s="6">
        <f>IF(OR(T11="",U11="",V11=""),"",T11*U11*V11)</f>
        <v/>
      </c>
      <c r="X11" s="6">
        <f>IF(W11="","",IF(OR(T11&gt;=9,W11&gt;=200),"Accept with Management Approval",IF(W11&gt;=100,"Action / Monitor","Accept")))</f>
        <v/>
      </c>
      <c r="Y11" s="4" t="n"/>
      <c r="Z11" s="4" t="n"/>
      <c r="AA11" s="4" t="n"/>
      <c r="AB11" s="4" t="n"/>
      <c r="AC11" s="4" t="n"/>
      <c r="AD11" s="4" t="n"/>
      <c r="AE11" s="4" t="n"/>
    </row>
    <row r="12">
      <c r="A12" s="4" t="n"/>
      <c r="B12" s="4" t="n"/>
      <c r="C12" s="4" t="n"/>
      <c r="D12" s="4" t="n"/>
      <c r="E12" s="5" t="n"/>
      <c r="F12" s="4" t="n"/>
      <c r="G12" s="4" t="n"/>
      <c r="H12" s="4" t="n"/>
      <c r="I12" s="5" t="n"/>
      <c r="J12" s="4" t="n"/>
      <c r="K12" s="5" t="n"/>
      <c r="L12" s="6">
        <f>IF(OR(E12="",I12="",K12=""),"",E12*I12*K12)</f>
        <v/>
      </c>
      <c r="M12" s="6">
        <f>IF(L12="","",IF(OR(E12&gt;=9,L12&gt;=200),"High",IF(L12&gt;=100,"Medium","Low")))</f>
        <v/>
      </c>
      <c r="N12" s="4" t="n"/>
      <c r="O12" s="4" t="n"/>
      <c r="P12" s="4" t="n"/>
      <c r="Q12" s="4" t="n"/>
      <c r="R12" s="4" t="n"/>
      <c r="S12" s="4" t="n"/>
      <c r="T12" s="5" t="n"/>
      <c r="U12" s="5" t="n"/>
      <c r="V12" s="5" t="n"/>
      <c r="W12" s="6">
        <f>IF(OR(T12="",U12="",V12=""),"",T12*U12*V12)</f>
        <v/>
      </c>
      <c r="X12" s="6">
        <f>IF(W12="","",IF(OR(T12&gt;=9,W12&gt;=200),"Accept with Management Approval",IF(W12&gt;=100,"Action / Monitor","Accept")))</f>
        <v/>
      </c>
      <c r="Y12" s="4" t="n"/>
      <c r="Z12" s="4" t="n"/>
      <c r="AA12" s="4" t="n"/>
      <c r="AB12" s="4" t="n"/>
      <c r="AC12" s="4" t="n"/>
      <c r="AD12" s="4" t="n"/>
      <c r="AE12" s="4" t="n"/>
    </row>
    <row r="13">
      <c r="A13" s="4" t="n"/>
      <c r="B13" s="4" t="n"/>
      <c r="C13" s="4" t="n"/>
      <c r="D13" s="4" t="n"/>
      <c r="E13" s="5" t="n"/>
      <c r="F13" s="4" t="n"/>
      <c r="G13" s="4" t="n"/>
      <c r="H13" s="4" t="n"/>
      <c r="I13" s="5" t="n"/>
      <c r="J13" s="4" t="n"/>
      <c r="K13" s="5" t="n"/>
      <c r="L13" s="6">
        <f>IF(OR(E13="",I13="",K13=""),"",E13*I13*K13)</f>
        <v/>
      </c>
      <c r="M13" s="6">
        <f>IF(L13="","",IF(OR(E13&gt;=9,L13&gt;=200),"High",IF(L13&gt;=100,"Medium","Low")))</f>
        <v/>
      </c>
      <c r="N13" s="4" t="n"/>
      <c r="O13" s="4" t="n"/>
      <c r="P13" s="4" t="n"/>
      <c r="Q13" s="4" t="n"/>
      <c r="R13" s="4" t="n"/>
      <c r="S13" s="4" t="n"/>
      <c r="T13" s="5" t="n"/>
      <c r="U13" s="5" t="n"/>
      <c r="V13" s="5" t="n"/>
      <c r="W13" s="6">
        <f>IF(OR(T13="",U13="",V13=""),"",T13*U13*V13)</f>
        <v/>
      </c>
      <c r="X13" s="6">
        <f>IF(W13="","",IF(OR(T13&gt;=9,W13&gt;=200),"Accept with Management Approval",IF(W13&gt;=100,"Action / Monitor","Accept")))</f>
        <v/>
      </c>
      <c r="Y13" s="4" t="n"/>
      <c r="Z13" s="4" t="n"/>
      <c r="AA13" s="4" t="n"/>
      <c r="AB13" s="4" t="n"/>
      <c r="AC13" s="4" t="n"/>
      <c r="AD13" s="4" t="n"/>
      <c r="AE13" s="4" t="n"/>
    </row>
    <row r="14">
      <c r="A14" s="4" t="n"/>
      <c r="B14" s="4" t="n"/>
      <c r="C14" s="4" t="n"/>
      <c r="D14" s="4" t="n"/>
      <c r="E14" s="5" t="n"/>
      <c r="F14" s="4" t="n"/>
      <c r="G14" s="4" t="n"/>
      <c r="H14" s="4" t="n"/>
      <c r="I14" s="5" t="n"/>
      <c r="J14" s="4" t="n"/>
      <c r="K14" s="5" t="n"/>
      <c r="L14" s="6">
        <f>IF(OR(E14="",I14="",K14=""),"",E14*I14*K14)</f>
        <v/>
      </c>
      <c r="M14" s="6">
        <f>IF(L14="","",IF(OR(E14&gt;=9,L14&gt;=200),"High",IF(L14&gt;=100,"Medium","Low")))</f>
        <v/>
      </c>
      <c r="N14" s="4" t="n"/>
      <c r="O14" s="4" t="n"/>
      <c r="P14" s="4" t="n"/>
      <c r="Q14" s="4" t="n"/>
      <c r="R14" s="4" t="n"/>
      <c r="S14" s="4" t="n"/>
      <c r="T14" s="5" t="n"/>
      <c r="U14" s="5" t="n"/>
      <c r="V14" s="5" t="n"/>
      <c r="W14" s="6">
        <f>IF(OR(T14="",U14="",V14=""),"",T14*U14*V14)</f>
        <v/>
      </c>
      <c r="X14" s="6">
        <f>IF(W14="","",IF(OR(T14&gt;=9,W14&gt;=200),"Accept with Management Approval",IF(W14&gt;=100,"Action / Monitor","Accept")))</f>
        <v/>
      </c>
      <c r="Y14" s="4" t="n"/>
      <c r="Z14" s="4" t="n"/>
      <c r="AA14" s="4" t="n"/>
      <c r="AB14" s="4" t="n"/>
      <c r="AC14" s="4" t="n"/>
      <c r="AD14" s="4" t="n"/>
      <c r="AE14" s="4" t="n"/>
    </row>
    <row r="15">
      <c r="A15" s="4" t="n"/>
      <c r="B15" s="4" t="n"/>
      <c r="C15" s="4" t="n"/>
      <c r="D15" s="4" t="n"/>
      <c r="E15" s="5" t="n"/>
      <c r="F15" s="4" t="n"/>
      <c r="G15" s="4" t="n"/>
      <c r="H15" s="4" t="n"/>
      <c r="I15" s="5" t="n"/>
      <c r="J15" s="4" t="n"/>
      <c r="K15" s="5" t="n"/>
      <c r="L15" s="6">
        <f>IF(OR(E15="",I15="",K15=""),"",E15*I15*K15)</f>
        <v/>
      </c>
      <c r="M15" s="6">
        <f>IF(L15="","",IF(OR(E15&gt;=9,L15&gt;=200),"High",IF(L15&gt;=100,"Medium","Low")))</f>
        <v/>
      </c>
      <c r="N15" s="4" t="n"/>
      <c r="O15" s="4" t="n"/>
      <c r="P15" s="4" t="n"/>
      <c r="Q15" s="4" t="n"/>
      <c r="R15" s="4" t="n"/>
      <c r="S15" s="4" t="n"/>
      <c r="T15" s="5" t="n"/>
      <c r="U15" s="5" t="n"/>
      <c r="V15" s="5" t="n"/>
      <c r="W15" s="6">
        <f>IF(OR(T15="",U15="",V15=""),"",T15*U15*V15)</f>
        <v/>
      </c>
      <c r="X15" s="6">
        <f>IF(W15="","",IF(OR(T15&gt;=9,W15&gt;=200),"Accept with Management Approval",IF(W15&gt;=100,"Action / Monitor","Accept")))</f>
        <v/>
      </c>
      <c r="Y15" s="4" t="n"/>
      <c r="Z15" s="4" t="n"/>
      <c r="AA15" s="4" t="n"/>
      <c r="AB15" s="4" t="n"/>
      <c r="AC15" s="4" t="n"/>
      <c r="AD15" s="4" t="n"/>
      <c r="AE15" s="4" t="n"/>
    </row>
    <row r="16">
      <c r="A16" s="4" t="n"/>
      <c r="B16" s="4" t="n"/>
      <c r="C16" s="4" t="n"/>
      <c r="D16" s="4" t="n"/>
      <c r="E16" s="5" t="n"/>
      <c r="F16" s="4" t="n"/>
      <c r="G16" s="4" t="n"/>
      <c r="H16" s="4" t="n"/>
      <c r="I16" s="5" t="n"/>
      <c r="J16" s="4" t="n"/>
      <c r="K16" s="5" t="n"/>
      <c r="L16" s="6">
        <f>IF(OR(E16="",I16="",K16=""),"",E16*I16*K16)</f>
        <v/>
      </c>
      <c r="M16" s="6">
        <f>IF(L16="","",IF(OR(E16&gt;=9,L16&gt;=200),"High",IF(L16&gt;=100,"Medium","Low")))</f>
        <v/>
      </c>
      <c r="N16" s="4" t="n"/>
      <c r="O16" s="4" t="n"/>
      <c r="P16" s="4" t="n"/>
      <c r="Q16" s="4" t="n"/>
      <c r="R16" s="4" t="n"/>
      <c r="S16" s="4" t="n"/>
      <c r="T16" s="5" t="n"/>
      <c r="U16" s="5" t="n"/>
      <c r="V16" s="5" t="n"/>
      <c r="W16" s="6">
        <f>IF(OR(T16="",U16="",V16=""),"",T16*U16*V16)</f>
        <v/>
      </c>
      <c r="X16" s="6">
        <f>IF(W16="","",IF(OR(T16&gt;=9,W16&gt;=200),"Accept with Management Approval",IF(W16&gt;=100,"Action / Monitor","Accept")))</f>
        <v/>
      </c>
      <c r="Y16" s="4" t="n"/>
      <c r="Z16" s="4" t="n"/>
      <c r="AA16" s="4" t="n"/>
      <c r="AB16" s="4" t="n"/>
      <c r="AC16" s="4" t="n"/>
      <c r="AD16" s="4" t="n"/>
      <c r="AE16" s="4" t="n"/>
    </row>
    <row r="17">
      <c r="A17" s="4" t="n"/>
      <c r="B17" s="4" t="n"/>
      <c r="C17" s="4" t="n"/>
      <c r="D17" s="4" t="n"/>
      <c r="E17" s="5" t="n"/>
      <c r="F17" s="4" t="n"/>
      <c r="G17" s="4" t="n"/>
      <c r="H17" s="4" t="n"/>
      <c r="I17" s="5" t="n"/>
      <c r="J17" s="4" t="n"/>
      <c r="K17" s="5" t="n"/>
      <c r="L17" s="6">
        <f>IF(OR(E17="",I17="",K17=""),"",E17*I17*K17)</f>
        <v/>
      </c>
      <c r="M17" s="6">
        <f>IF(L17="","",IF(OR(E17&gt;=9,L17&gt;=200),"High",IF(L17&gt;=100,"Medium","Low")))</f>
        <v/>
      </c>
      <c r="N17" s="4" t="n"/>
      <c r="O17" s="4" t="n"/>
      <c r="P17" s="4" t="n"/>
      <c r="Q17" s="4" t="n"/>
      <c r="R17" s="4" t="n"/>
      <c r="S17" s="4" t="n"/>
      <c r="T17" s="5" t="n"/>
      <c r="U17" s="5" t="n"/>
      <c r="V17" s="5" t="n"/>
      <c r="W17" s="6">
        <f>IF(OR(T17="",U17="",V17=""),"",T17*U17*V17)</f>
        <v/>
      </c>
      <c r="X17" s="6">
        <f>IF(W17="","",IF(OR(T17&gt;=9,W17&gt;=200),"Accept with Management Approval",IF(W17&gt;=100,"Action / Monitor","Accept")))</f>
        <v/>
      </c>
      <c r="Y17" s="4" t="n"/>
      <c r="Z17" s="4" t="n"/>
      <c r="AA17" s="4" t="n"/>
      <c r="AB17" s="4" t="n"/>
      <c r="AC17" s="4" t="n"/>
      <c r="AD17" s="4" t="n"/>
      <c r="AE17" s="4" t="n"/>
    </row>
    <row r="18">
      <c r="A18" s="4" t="n"/>
      <c r="B18" s="4" t="n"/>
      <c r="C18" s="4" t="n"/>
      <c r="D18" s="4" t="n"/>
      <c r="E18" s="5" t="n"/>
      <c r="F18" s="4" t="n"/>
      <c r="G18" s="4" t="n"/>
      <c r="H18" s="4" t="n"/>
      <c r="I18" s="5" t="n"/>
      <c r="J18" s="4" t="n"/>
      <c r="K18" s="5" t="n"/>
      <c r="L18" s="6">
        <f>IF(OR(E18="",I18="",K18=""),"",E18*I18*K18)</f>
        <v/>
      </c>
      <c r="M18" s="6">
        <f>IF(L18="","",IF(OR(E18&gt;=9,L18&gt;=200),"High",IF(L18&gt;=100,"Medium","Low")))</f>
        <v/>
      </c>
      <c r="N18" s="4" t="n"/>
      <c r="O18" s="4" t="n"/>
      <c r="P18" s="4" t="n"/>
      <c r="Q18" s="4" t="n"/>
      <c r="R18" s="4" t="n"/>
      <c r="S18" s="4" t="n"/>
      <c r="T18" s="5" t="n"/>
      <c r="U18" s="5" t="n"/>
      <c r="V18" s="5" t="n"/>
      <c r="W18" s="6">
        <f>IF(OR(T18="",U18="",V18=""),"",T18*U18*V18)</f>
        <v/>
      </c>
      <c r="X18" s="6">
        <f>IF(W18="","",IF(OR(T18&gt;=9,W18&gt;=200),"Accept with Management Approval",IF(W18&gt;=100,"Action / Monitor","Accept")))</f>
        <v/>
      </c>
      <c r="Y18" s="4" t="n"/>
      <c r="Z18" s="4" t="n"/>
      <c r="AA18" s="4" t="n"/>
      <c r="AB18" s="4" t="n"/>
      <c r="AC18" s="4" t="n"/>
      <c r="AD18" s="4" t="n"/>
      <c r="AE18" s="4" t="n"/>
    </row>
    <row r="19">
      <c r="A19" s="4" t="n"/>
      <c r="B19" s="4" t="n"/>
      <c r="C19" s="4" t="n"/>
      <c r="D19" s="4" t="n"/>
      <c r="E19" s="5" t="n"/>
      <c r="F19" s="4" t="n"/>
      <c r="G19" s="4" t="n"/>
      <c r="H19" s="4" t="n"/>
      <c r="I19" s="5" t="n"/>
      <c r="J19" s="4" t="n"/>
      <c r="K19" s="5" t="n"/>
      <c r="L19" s="6">
        <f>IF(OR(E19="",I19="",K19=""),"",E19*I19*K19)</f>
        <v/>
      </c>
      <c r="M19" s="6">
        <f>IF(L19="","",IF(OR(E19&gt;=9,L19&gt;=200),"High",IF(L19&gt;=100,"Medium","Low")))</f>
        <v/>
      </c>
      <c r="N19" s="4" t="n"/>
      <c r="O19" s="4" t="n"/>
      <c r="P19" s="4" t="n"/>
      <c r="Q19" s="4" t="n"/>
      <c r="R19" s="4" t="n"/>
      <c r="S19" s="4" t="n"/>
      <c r="T19" s="5" t="n"/>
      <c r="U19" s="5" t="n"/>
      <c r="V19" s="5" t="n"/>
      <c r="W19" s="6">
        <f>IF(OR(T19="",U19="",V19=""),"",T19*U19*V19)</f>
        <v/>
      </c>
      <c r="X19" s="6">
        <f>IF(W19="","",IF(OR(T19&gt;=9,W19&gt;=200),"Accept with Management Approval",IF(W19&gt;=100,"Action / Monitor","Accept")))</f>
        <v/>
      </c>
      <c r="Y19" s="4" t="n"/>
      <c r="Z19" s="4" t="n"/>
      <c r="AA19" s="4" t="n"/>
      <c r="AB19" s="4" t="n"/>
      <c r="AC19" s="4" t="n"/>
      <c r="AD19" s="4" t="n"/>
      <c r="AE19" s="4" t="n"/>
    </row>
    <row r="20">
      <c r="A20" s="4" t="n"/>
      <c r="B20" s="4" t="n"/>
      <c r="C20" s="4" t="n"/>
      <c r="D20" s="4" t="n"/>
      <c r="E20" s="5" t="n"/>
      <c r="F20" s="4" t="n"/>
      <c r="G20" s="4" t="n"/>
      <c r="H20" s="4" t="n"/>
      <c r="I20" s="5" t="n"/>
      <c r="J20" s="4" t="n"/>
      <c r="K20" s="5" t="n"/>
      <c r="L20" s="6">
        <f>IF(OR(E20="",I20="",K20=""),"",E20*I20*K20)</f>
        <v/>
      </c>
      <c r="M20" s="6">
        <f>IF(L20="","",IF(OR(E20&gt;=9,L20&gt;=200),"High",IF(L20&gt;=100,"Medium","Low")))</f>
        <v/>
      </c>
      <c r="N20" s="4" t="n"/>
      <c r="O20" s="4" t="n"/>
      <c r="P20" s="4" t="n"/>
      <c r="Q20" s="4" t="n"/>
      <c r="R20" s="4" t="n"/>
      <c r="S20" s="4" t="n"/>
      <c r="T20" s="5" t="n"/>
      <c r="U20" s="5" t="n"/>
      <c r="V20" s="5" t="n"/>
      <c r="W20" s="6">
        <f>IF(OR(T20="",U20="",V20=""),"",T20*U20*V20)</f>
        <v/>
      </c>
      <c r="X20" s="6">
        <f>IF(W20="","",IF(OR(T20&gt;=9,W20&gt;=200),"Accept with Management Approval",IF(W20&gt;=100,"Action / Monitor","Accept")))</f>
        <v/>
      </c>
      <c r="Y20" s="4" t="n"/>
      <c r="Z20" s="4" t="n"/>
      <c r="AA20" s="4" t="n"/>
      <c r="AB20" s="4" t="n"/>
      <c r="AC20" s="4" t="n"/>
      <c r="AD20" s="4" t="n"/>
      <c r="AE20" s="4" t="n"/>
    </row>
    <row r="21">
      <c r="A21" s="4" t="n"/>
      <c r="B21" s="4" t="n"/>
      <c r="C21" s="4" t="n"/>
      <c r="D21" s="4" t="n"/>
      <c r="E21" s="5" t="n"/>
      <c r="F21" s="4" t="n"/>
      <c r="G21" s="4" t="n"/>
      <c r="H21" s="4" t="n"/>
      <c r="I21" s="5" t="n"/>
      <c r="J21" s="4" t="n"/>
      <c r="K21" s="5" t="n"/>
      <c r="L21" s="6">
        <f>IF(OR(E21="",I21="",K21=""),"",E21*I21*K21)</f>
        <v/>
      </c>
      <c r="M21" s="6">
        <f>IF(L21="","",IF(OR(E21&gt;=9,L21&gt;=200),"High",IF(L21&gt;=100,"Medium","Low")))</f>
        <v/>
      </c>
      <c r="N21" s="4" t="n"/>
      <c r="O21" s="4" t="n"/>
      <c r="P21" s="4" t="n"/>
      <c r="Q21" s="4" t="n"/>
      <c r="R21" s="4" t="n"/>
      <c r="S21" s="4" t="n"/>
      <c r="T21" s="5" t="n"/>
      <c r="U21" s="5" t="n"/>
      <c r="V21" s="5" t="n"/>
      <c r="W21" s="6">
        <f>IF(OR(T21="",U21="",V21=""),"",T21*U21*V21)</f>
        <v/>
      </c>
      <c r="X21" s="6">
        <f>IF(W21="","",IF(OR(T21&gt;=9,W21&gt;=200),"Accept with Management Approval",IF(W21&gt;=100,"Action / Monitor","Accept")))</f>
        <v/>
      </c>
      <c r="Y21" s="4" t="n"/>
      <c r="Z21" s="4" t="n"/>
      <c r="AA21" s="4" t="n"/>
      <c r="AB21" s="4" t="n"/>
      <c r="AC21" s="4" t="n"/>
      <c r="AD21" s="4" t="n"/>
      <c r="AE21" s="4" t="n"/>
    </row>
    <row r="22">
      <c r="A22" s="4" t="n"/>
      <c r="B22" s="4" t="n"/>
      <c r="C22" s="4" t="n"/>
      <c r="D22" s="4" t="n"/>
      <c r="E22" s="5" t="n"/>
      <c r="F22" s="4" t="n"/>
      <c r="G22" s="4" t="n"/>
      <c r="H22" s="4" t="n"/>
      <c r="I22" s="5" t="n"/>
      <c r="J22" s="4" t="n"/>
      <c r="K22" s="5" t="n"/>
      <c r="L22" s="6">
        <f>IF(OR(E22="",I22="",K22=""),"",E22*I22*K22)</f>
        <v/>
      </c>
      <c r="M22" s="6">
        <f>IF(L22="","",IF(OR(E22&gt;=9,L22&gt;=200),"High",IF(L22&gt;=100,"Medium","Low")))</f>
        <v/>
      </c>
      <c r="N22" s="4" t="n"/>
      <c r="O22" s="4" t="n"/>
      <c r="P22" s="4" t="n"/>
      <c r="Q22" s="4" t="n"/>
      <c r="R22" s="4" t="n"/>
      <c r="S22" s="4" t="n"/>
      <c r="T22" s="5" t="n"/>
      <c r="U22" s="5" t="n"/>
      <c r="V22" s="5" t="n"/>
      <c r="W22" s="6">
        <f>IF(OR(T22="",U22="",V22=""),"",T22*U22*V22)</f>
        <v/>
      </c>
      <c r="X22" s="6">
        <f>IF(W22="","",IF(OR(T22&gt;=9,W22&gt;=200),"Accept with Management Approval",IF(W22&gt;=100,"Action / Monitor","Accept")))</f>
        <v/>
      </c>
      <c r="Y22" s="4" t="n"/>
      <c r="Z22" s="4" t="n"/>
      <c r="AA22" s="4" t="n"/>
      <c r="AB22" s="4" t="n"/>
      <c r="AC22" s="4" t="n"/>
      <c r="AD22" s="4" t="n"/>
      <c r="AE22" s="4" t="n"/>
    </row>
    <row r="23">
      <c r="A23" s="4" t="n"/>
      <c r="B23" s="4" t="n"/>
      <c r="C23" s="4" t="n"/>
      <c r="D23" s="4" t="n"/>
      <c r="E23" s="5" t="n"/>
      <c r="F23" s="4" t="n"/>
      <c r="G23" s="4" t="n"/>
      <c r="H23" s="4" t="n"/>
      <c r="I23" s="5" t="n"/>
      <c r="J23" s="4" t="n"/>
      <c r="K23" s="5" t="n"/>
      <c r="L23" s="6">
        <f>IF(OR(E23="",I23="",K23=""),"",E23*I23*K23)</f>
        <v/>
      </c>
      <c r="M23" s="6">
        <f>IF(L23="","",IF(OR(E23&gt;=9,L23&gt;=200),"High",IF(L23&gt;=100,"Medium","Low")))</f>
        <v/>
      </c>
      <c r="N23" s="4" t="n"/>
      <c r="O23" s="4" t="n"/>
      <c r="P23" s="4" t="n"/>
      <c r="Q23" s="4" t="n"/>
      <c r="R23" s="4" t="n"/>
      <c r="S23" s="4" t="n"/>
      <c r="T23" s="5" t="n"/>
      <c r="U23" s="5" t="n"/>
      <c r="V23" s="5" t="n"/>
      <c r="W23" s="6">
        <f>IF(OR(T23="",U23="",V23=""),"",T23*U23*V23)</f>
        <v/>
      </c>
      <c r="X23" s="6">
        <f>IF(W23="","",IF(OR(T23&gt;=9,W23&gt;=200),"Accept with Management Approval",IF(W23&gt;=100,"Action / Monitor","Accept")))</f>
        <v/>
      </c>
      <c r="Y23" s="4" t="n"/>
      <c r="Z23" s="4" t="n"/>
      <c r="AA23" s="4" t="n"/>
      <c r="AB23" s="4" t="n"/>
      <c r="AC23" s="4" t="n"/>
      <c r="AD23" s="4" t="n"/>
      <c r="AE23" s="4" t="n"/>
    </row>
    <row r="24">
      <c r="A24" s="4" t="n"/>
      <c r="B24" s="4" t="n"/>
      <c r="C24" s="4" t="n"/>
      <c r="D24" s="4" t="n"/>
      <c r="E24" s="5" t="n"/>
      <c r="F24" s="4" t="n"/>
      <c r="G24" s="4" t="n"/>
      <c r="H24" s="4" t="n"/>
      <c r="I24" s="5" t="n"/>
      <c r="J24" s="4" t="n"/>
      <c r="K24" s="5" t="n"/>
      <c r="L24" s="6">
        <f>IF(OR(E24="",I24="",K24=""),"",E24*I24*K24)</f>
        <v/>
      </c>
      <c r="M24" s="6">
        <f>IF(L24="","",IF(OR(E24&gt;=9,L24&gt;=200),"High",IF(L24&gt;=100,"Medium","Low")))</f>
        <v/>
      </c>
      <c r="N24" s="4" t="n"/>
      <c r="O24" s="4" t="n"/>
      <c r="P24" s="4" t="n"/>
      <c r="Q24" s="4" t="n"/>
      <c r="R24" s="4" t="n"/>
      <c r="S24" s="4" t="n"/>
      <c r="T24" s="5" t="n"/>
      <c r="U24" s="5" t="n"/>
      <c r="V24" s="5" t="n"/>
      <c r="W24" s="6">
        <f>IF(OR(T24="",U24="",V24=""),"",T24*U24*V24)</f>
        <v/>
      </c>
      <c r="X24" s="6">
        <f>IF(W24="","",IF(OR(T24&gt;=9,W24&gt;=200),"Accept with Management Approval",IF(W24&gt;=100,"Action / Monitor","Accept")))</f>
        <v/>
      </c>
      <c r="Y24" s="4" t="n"/>
      <c r="Z24" s="4" t="n"/>
      <c r="AA24" s="4" t="n"/>
      <c r="AB24" s="4" t="n"/>
      <c r="AC24" s="4" t="n"/>
      <c r="AD24" s="4" t="n"/>
      <c r="AE24" s="4" t="n"/>
    </row>
    <row r="25">
      <c r="A25" s="4" t="n"/>
      <c r="B25" s="4" t="n"/>
      <c r="C25" s="4" t="n"/>
      <c r="D25" s="4" t="n"/>
      <c r="E25" s="5" t="n"/>
      <c r="F25" s="4" t="n"/>
      <c r="G25" s="4" t="n"/>
      <c r="H25" s="4" t="n"/>
      <c r="I25" s="5" t="n"/>
      <c r="J25" s="4" t="n"/>
      <c r="K25" s="5" t="n"/>
      <c r="L25" s="6">
        <f>IF(OR(E25="",I25="",K25=""),"",E25*I25*K25)</f>
        <v/>
      </c>
      <c r="M25" s="6">
        <f>IF(L25="","",IF(OR(E25&gt;=9,L25&gt;=200),"High",IF(L25&gt;=100,"Medium","Low")))</f>
        <v/>
      </c>
      <c r="N25" s="4" t="n"/>
      <c r="O25" s="4" t="n"/>
      <c r="P25" s="4" t="n"/>
      <c r="Q25" s="4" t="n"/>
      <c r="R25" s="4" t="n"/>
      <c r="S25" s="4" t="n"/>
      <c r="T25" s="5" t="n"/>
      <c r="U25" s="5" t="n"/>
      <c r="V25" s="5" t="n"/>
      <c r="W25" s="6">
        <f>IF(OR(T25="",U25="",V25=""),"",T25*U25*V25)</f>
        <v/>
      </c>
      <c r="X25" s="6">
        <f>IF(W25="","",IF(OR(T25&gt;=9,W25&gt;=200),"Accept with Management Approval",IF(W25&gt;=100,"Action / Monitor","Accept")))</f>
        <v/>
      </c>
      <c r="Y25" s="4" t="n"/>
      <c r="Z25" s="4" t="n"/>
      <c r="AA25" s="4" t="n"/>
      <c r="AB25" s="4" t="n"/>
      <c r="AC25" s="4" t="n"/>
      <c r="AD25" s="4" t="n"/>
      <c r="AE25" s="4" t="n"/>
    </row>
    <row r="26">
      <c r="A26" s="4" t="n"/>
      <c r="B26" s="4" t="n"/>
      <c r="C26" s="4" t="n"/>
      <c r="D26" s="4" t="n"/>
      <c r="E26" s="5" t="n"/>
      <c r="F26" s="4" t="n"/>
      <c r="G26" s="4" t="n"/>
      <c r="H26" s="4" t="n"/>
      <c r="I26" s="5" t="n"/>
      <c r="J26" s="4" t="n"/>
      <c r="K26" s="5" t="n"/>
      <c r="L26" s="6">
        <f>IF(OR(E26="",I26="",K26=""),"",E26*I26*K26)</f>
        <v/>
      </c>
      <c r="M26" s="6">
        <f>IF(L26="","",IF(OR(E26&gt;=9,L26&gt;=200),"High",IF(L26&gt;=100,"Medium","Low")))</f>
        <v/>
      </c>
      <c r="N26" s="4" t="n"/>
      <c r="O26" s="4" t="n"/>
      <c r="P26" s="4" t="n"/>
      <c r="Q26" s="4" t="n"/>
      <c r="R26" s="4" t="n"/>
      <c r="S26" s="4" t="n"/>
      <c r="T26" s="5" t="n"/>
      <c r="U26" s="5" t="n"/>
      <c r="V26" s="5" t="n"/>
      <c r="W26" s="6">
        <f>IF(OR(T26="",U26="",V26=""),"",T26*U26*V26)</f>
        <v/>
      </c>
      <c r="X26" s="6">
        <f>IF(W26="","",IF(OR(T26&gt;=9,W26&gt;=200),"Accept with Management Approval",IF(W26&gt;=100,"Action / Monitor","Accept")))</f>
        <v/>
      </c>
      <c r="Y26" s="4" t="n"/>
      <c r="Z26" s="4" t="n"/>
      <c r="AA26" s="4" t="n"/>
      <c r="AB26" s="4" t="n"/>
      <c r="AC26" s="4" t="n"/>
      <c r="AD26" s="4" t="n"/>
      <c r="AE26" s="4" t="n"/>
    </row>
    <row r="27">
      <c r="A27" s="4" t="n"/>
      <c r="B27" s="4" t="n"/>
      <c r="C27" s="4" t="n"/>
      <c r="D27" s="4" t="n"/>
      <c r="E27" s="5" t="n"/>
      <c r="F27" s="4" t="n"/>
      <c r="G27" s="4" t="n"/>
      <c r="H27" s="4" t="n"/>
      <c r="I27" s="5" t="n"/>
      <c r="J27" s="4" t="n"/>
      <c r="K27" s="5" t="n"/>
      <c r="L27" s="6">
        <f>IF(OR(E27="",I27="",K27=""),"",E27*I27*K27)</f>
        <v/>
      </c>
      <c r="M27" s="6">
        <f>IF(L27="","",IF(OR(E27&gt;=9,L27&gt;=200),"High",IF(L27&gt;=100,"Medium","Low")))</f>
        <v/>
      </c>
      <c r="N27" s="4" t="n"/>
      <c r="O27" s="4" t="n"/>
      <c r="P27" s="4" t="n"/>
      <c r="Q27" s="4" t="n"/>
      <c r="R27" s="4" t="n"/>
      <c r="S27" s="4" t="n"/>
      <c r="T27" s="5" t="n"/>
      <c r="U27" s="5" t="n"/>
      <c r="V27" s="5" t="n"/>
      <c r="W27" s="6">
        <f>IF(OR(T27="",U27="",V27=""),"",T27*U27*V27)</f>
        <v/>
      </c>
      <c r="X27" s="6">
        <f>IF(W27="","",IF(OR(T27&gt;=9,W27&gt;=200),"Accept with Management Approval",IF(W27&gt;=100,"Action / Monitor","Accept")))</f>
        <v/>
      </c>
      <c r="Y27" s="4" t="n"/>
      <c r="Z27" s="4" t="n"/>
      <c r="AA27" s="4" t="n"/>
      <c r="AB27" s="4" t="n"/>
      <c r="AC27" s="4" t="n"/>
      <c r="AD27" s="4" t="n"/>
      <c r="AE27" s="4" t="n"/>
    </row>
    <row r="28">
      <c r="A28" s="4" t="n"/>
      <c r="B28" s="4" t="n"/>
      <c r="C28" s="4" t="n"/>
      <c r="D28" s="4" t="n"/>
      <c r="E28" s="5" t="n"/>
      <c r="F28" s="4" t="n"/>
      <c r="G28" s="4" t="n"/>
      <c r="H28" s="4" t="n"/>
      <c r="I28" s="5" t="n"/>
      <c r="J28" s="4" t="n"/>
      <c r="K28" s="5" t="n"/>
      <c r="L28" s="6">
        <f>IF(OR(E28="",I28="",K28=""),"",E28*I28*K28)</f>
        <v/>
      </c>
      <c r="M28" s="6">
        <f>IF(L28="","",IF(OR(E28&gt;=9,L28&gt;=200),"High",IF(L28&gt;=100,"Medium","Low")))</f>
        <v/>
      </c>
      <c r="N28" s="4" t="n"/>
      <c r="O28" s="4" t="n"/>
      <c r="P28" s="4" t="n"/>
      <c r="Q28" s="4" t="n"/>
      <c r="R28" s="4" t="n"/>
      <c r="S28" s="4" t="n"/>
      <c r="T28" s="5" t="n"/>
      <c r="U28" s="5" t="n"/>
      <c r="V28" s="5" t="n"/>
      <c r="W28" s="6">
        <f>IF(OR(T28="",U28="",V28=""),"",T28*U28*V28)</f>
        <v/>
      </c>
      <c r="X28" s="6">
        <f>IF(W28="","",IF(OR(T28&gt;=9,W28&gt;=200),"Accept with Management Approval",IF(W28&gt;=100,"Action / Monitor","Accept")))</f>
        <v/>
      </c>
      <c r="Y28" s="4" t="n"/>
      <c r="Z28" s="4" t="n"/>
      <c r="AA28" s="4" t="n"/>
      <c r="AB28" s="4" t="n"/>
      <c r="AC28" s="4" t="n"/>
      <c r="AD28" s="4" t="n"/>
      <c r="AE28" s="4" t="n"/>
    </row>
    <row r="29">
      <c r="A29" s="4" t="n"/>
      <c r="B29" s="4" t="n"/>
      <c r="C29" s="4" t="n"/>
      <c r="D29" s="4" t="n"/>
      <c r="E29" s="5" t="n"/>
      <c r="F29" s="4" t="n"/>
      <c r="G29" s="4" t="n"/>
      <c r="H29" s="4" t="n"/>
      <c r="I29" s="5" t="n"/>
      <c r="J29" s="4" t="n"/>
      <c r="K29" s="5" t="n"/>
      <c r="L29" s="6">
        <f>IF(OR(E29="",I29="",K29=""),"",E29*I29*K29)</f>
        <v/>
      </c>
      <c r="M29" s="6">
        <f>IF(L29="","",IF(OR(E29&gt;=9,L29&gt;=200),"High",IF(L29&gt;=100,"Medium","Low")))</f>
        <v/>
      </c>
      <c r="N29" s="4" t="n"/>
      <c r="O29" s="4" t="n"/>
      <c r="P29" s="4" t="n"/>
      <c r="Q29" s="4" t="n"/>
      <c r="R29" s="4" t="n"/>
      <c r="S29" s="4" t="n"/>
      <c r="T29" s="5" t="n"/>
      <c r="U29" s="5" t="n"/>
      <c r="V29" s="5" t="n"/>
      <c r="W29" s="6">
        <f>IF(OR(T29="",U29="",V29=""),"",T29*U29*V29)</f>
        <v/>
      </c>
      <c r="X29" s="6">
        <f>IF(W29="","",IF(OR(T29&gt;=9,W29&gt;=200),"Accept with Management Approval",IF(W29&gt;=100,"Action / Monitor","Accept")))</f>
        <v/>
      </c>
      <c r="Y29" s="4" t="n"/>
      <c r="Z29" s="4" t="n"/>
      <c r="AA29" s="4" t="n"/>
      <c r="AB29" s="4" t="n"/>
      <c r="AC29" s="4" t="n"/>
      <c r="AD29" s="4" t="n"/>
      <c r="AE29" s="4" t="n"/>
    </row>
    <row r="30">
      <c r="A30" s="4" t="n"/>
      <c r="B30" s="4" t="n"/>
      <c r="C30" s="4" t="n"/>
      <c r="D30" s="4" t="n"/>
      <c r="E30" s="5" t="n"/>
      <c r="F30" s="4" t="n"/>
      <c r="G30" s="4" t="n"/>
      <c r="H30" s="4" t="n"/>
      <c r="I30" s="5" t="n"/>
      <c r="J30" s="4" t="n"/>
      <c r="K30" s="5" t="n"/>
      <c r="L30" s="6">
        <f>IF(OR(E30="",I30="",K30=""),"",E30*I30*K30)</f>
        <v/>
      </c>
      <c r="M30" s="6">
        <f>IF(L30="","",IF(OR(E30&gt;=9,L30&gt;=200),"High",IF(L30&gt;=100,"Medium","Low")))</f>
        <v/>
      </c>
      <c r="N30" s="4" t="n"/>
      <c r="O30" s="4" t="n"/>
      <c r="P30" s="4" t="n"/>
      <c r="Q30" s="4" t="n"/>
      <c r="R30" s="4" t="n"/>
      <c r="S30" s="4" t="n"/>
      <c r="T30" s="5" t="n"/>
      <c r="U30" s="5" t="n"/>
      <c r="V30" s="5" t="n"/>
      <c r="W30" s="6">
        <f>IF(OR(T30="",U30="",V30=""),"",T30*U30*V30)</f>
        <v/>
      </c>
      <c r="X30" s="6">
        <f>IF(W30="","",IF(OR(T30&gt;=9,W30&gt;=200),"Accept with Management Approval",IF(W30&gt;=100,"Action / Monitor","Accept")))</f>
        <v/>
      </c>
      <c r="Y30" s="4" t="n"/>
      <c r="Z30" s="4" t="n"/>
      <c r="AA30" s="4" t="n"/>
      <c r="AB30" s="4" t="n"/>
      <c r="AC30" s="4" t="n"/>
      <c r="AD30" s="4" t="n"/>
      <c r="AE30" s="4" t="n"/>
    </row>
    <row r="31">
      <c r="A31" s="4" t="n"/>
      <c r="B31" s="4" t="n"/>
      <c r="C31" s="4" t="n"/>
      <c r="D31" s="4" t="n"/>
      <c r="E31" s="5" t="n"/>
      <c r="F31" s="4" t="n"/>
      <c r="G31" s="4" t="n"/>
      <c r="H31" s="4" t="n"/>
      <c r="I31" s="5" t="n"/>
      <c r="J31" s="4" t="n"/>
      <c r="K31" s="5" t="n"/>
      <c r="L31" s="6">
        <f>IF(OR(E31="",I31="",K31=""),"",E31*I31*K31)</f>
        <v/>
      </c>
      <c r="M31" s="6">
        <f>IF(L31="","",IF(OR(E31&gt;=9,L31&gt;=200),"High",IF(L31&gt;=100,"Medium","Low")))</f>
        <v/>
      </c>
      <c r="N31" s="4" t="n"/>
      <c r="O31" s="4" t="n"/>
      <c r="P31" s="4" t="n"/>
      <c r="Q31" s="4" t="n"/>
      <c r="R31" s="4" t="n"/>
      <c r="S31" s="4" t="n"/>
      <c r="T31" s="5" t="n"/>
      <c r="U31" s="5" t="n"/>
      <c r="V31" s="5" t="n"/>
      <c r="W31" s="6">
        <f>IF(OR(T31="",U31="",V31=""),"",T31*U31*V31)</f>
        <v/>
      </c>
      <c r="X31" s="6">
        <f>IF(W31="","",IF(OR(T31&gt;=9,W31&gt;=200),"Accept with Management Approval",IF(W31&gt;=100,"Action / Monitor","Accept")))</f>
        <v/>
      </c>
      <c r="Y31" s="4" t="n"/>
      <c r="Z31" s="4" t="n"/>
      <c r="AA31" s="4" t="n"/>
      <c r="AB31" s="4" t="n"/>
      <c r="AC31" s="4" t="n"/>
      <c r="AD31" s="4" t="n"/>
      <c r="AE31" s="4" t="n"/>
    </row>
    <row r="32">
      <c r="A32" s="4" t="n"/>
      <c r="B32" s="4" t="n"/>
      <c r="C32" s="4" t="n"/>
      <c r="D32" s="4" t="n"/>
      <c r="E32" s="5" t="n"/>
      <c r="F32" s="4" t="n"/>
      <c r="G32" s="4" t="n"/>
      <c r="H32" s="4" t="n"/>
      <c r="I32" s="5" t="n"/>
      <c r="J32" s="4" t="n"/>
      <c r="K32" s="5" t="n"/>
      <c r="L32" s="6">
        <f>IF(OR(E32="",I32="",K32=""),"",E32*I32*K32)</f>
        <v/>
      </c>
      <c r="M32" s="6">
        <f>IF(L32="","",IF(OR(E32&gt;=9,L32&gt;=200),"High",IF(L32&gt;=100,"Medium","Low")))</f>
        <v/>
      </c>
      <c r="N32" s="4" t="n"/>
      <c r="O32" s="4" t="n"/>
      <c r="P32" s="4" t="n"/>
      <c r="Q32" s="4" t="n"/>
      <c r="R32" s="4" t="n"/>
      <c r="S32" s="4" t="n"/>
      <c r="T32" s="5" t="n"/>
      <c r="U32" s="5" t="n"/>
      <c r="V32" s="5" t="n"/>
      <c r="W32" s="6">
        <f>IF(OR(T32="",U32="",V32=""),"",T32*U32*V32)</f>
        <v/>
      </c>
      <c r="X32" s="6">
        <f>IF(W32="","",IF(OR(T32&gt;=9,W32&gt;=200),"Accept with Management Approval",IF(W32&gt;=100,"Action / Monitor","Accept")))</f>
        <v/>
      </c>
      <c r="Y32" s="4" t="n"/>
      <c r="Z32" s="4" t="n"/>
      <c r="AA32" s="4" t="n"/>
      <c r="AB32" s="4" t="n"/>
      <c r="AC32" s="4" t="n"/>
      <c r="AD32" s="4" t="n"/>
      <c r="AE32" s="4" t="n"/>
    </row>
    <row r="33">
      <c r="A33" s="4" t="n"/>
      <c r="B33" s="4" t="n"/>
      <c r="C33" s="4" t="n"/>
      <c r="D33" s="4" t="n"/>
      <c r="E33" s="5" t="n"/>
      <c r="F33" s="4" t="n"/>
      <c r="G33" s="4" t="n"/>
      <c r="H33" s="4" t="n"/>
      <c r="I33" s="5" t="n"/>
      <c r="J33" s="4" t="n"/>
      <c r="K33" s="5" t="n"/>
      <c r="L33" s="6">
        <f>IF(OR(E33="",I33="",K33=""),"",E33*I33*K33)</f>
        <v/>
      </c>
      <c r="M33" s="6">
        <f>IF(L33="","",IF(OR(E33&gt;=9,L33&gt;=200),"High",IF(L33&gt;=100,"Medium","Low")))</f>
        <v/>
      </c>
      <c r="N33" s="4" t="n"/>
      <c r="O33" s="4" t="n"/>
      <c r="P33" s="4" t="n"/>
      <c r="Q33" s="4" t="n"/>
      <c r="R33" s="4" t="n"/>
      <c r="S33" s="4" t="n"/>
      <c r="T33" s="5" t="n"/>
      <c r="U33" s="5" t="n"/>
      <c r="V33" s="5" t="n"/>
      <c r="W33" s="6">
        <f>IF(OR(T33="",U33="",V33=""),"",T33*U33*V33)</f>
        <v/>
      </c>
      <c r="X33" s="6">
        <f>IF(W33="","",IF(OR(T33&gt;=9,W33&gt;=200),"Accept with Management Approval",IF(W33&gt;=100,"Action / Monitor","Accept")))</f>
        <v/>
      </c>
      <c r="Y33" s="4" t="n"/>
      <c r="Z33" s="4" t="n"/>
      <c r="AA33" s="4" t="n"/>
      <c r="AB33" s="4" t="n"/>
      <c r="AC33" s="4" t="n"/>
      <c r="AD33" s="4" t="n"/>
      <c r="AE33" s="4" t="n"/>
    </row>
    <row r="34">
      <c r="A34" s="4" t="n"/>
      <c r="B34" s="4" t="n"/>
      <c r="C34" s="4" t="n"/>
      <c r="D34" s="4" t="n"/>
      <c r="E34" s="5" t="n"/>
      <c r="F34" s="4" t="n"/>
      <c r="G34" s="4" t="n"/>
      <c r="H34" s="4" t="n"/>
      <c r="I34" s="5" t="n"/>
      <c r="J34" s="4" t="n"/>
      <c r="K34" s="5" t="n"/>
      <c r="L34" s="6">
        <f>IF(OR(E34="",I34="",K34=""),"",E34*I34*K34)</f>
        <v/>
      </c>
      <c r="M34" s="6">
        <f>IF(L34="","",IF(OR(E34&gt;=9,L34&gt;=200),"High",IF(L34&gt;=100,"Medium","Low")))</f>
        <v/>
      </c>
      <c r="N34" s="4" t="n"/>
      <c r="O34" s="4" t="n"/>
      <c r="P34" s="4" t="n"/>
      <c r="Q34" s="4" t="n"/>
      <c r="R34" s="4" t="n"/>
      <c r="S34" s="4" t="n"/>
      <c r="T34" s="5" t="n"/>
      <c r="U34" s="5" t="n"/>
      <c r="V34" s="5" t="n"/>
      <c r="W34" s="6">
        <f>IF(OR(T34="",U34="",V34=""),"",T34*U34*V34)</f>
        <v/>
      </c>
      <c r="X34" s="6">
        <f>IF(W34="","",IF(OR(T34&gt;=9,W34&gt;=200),"Accept with Management Approval",IF(W34&gt;=100,"Action / Monitor","Accept")))</f>
        <v/>
      </c>
      <c r="Y34" s="4" t="n"/>
      <c r="Z34" s="4" t="n"/>
      <c r="AA34" s="4" t="n"/>
      <c r="AB34" s="4" t="n"/>
      <c r="AC34" s="4" t="n"/>
      <c r="AD34" s="4" t="n"/>
      <c r="AE34" s="4" t="n"/>
    </row>
    <row r="35">
      <c r="A35" s="4" t="n"/>
      <c r="B35" s="4" t="n"/>
      <c r="C35" s="4" t="n"/>
      <c r="D35" s="4" t="n"/>
      <c r="E35" s="5" t="n"/>
      <c r="F35" s="4" t="n"/>
      <c r="G35" s="4" t="n"/>
      <c r="H35" s="4" t="n"/>
      <c r="I35" s="5" t="n"/>
      <c r="J35" s="4" t="n"/>
      <c r="K35" s="5" t="n"/>
      <c r="L35" s="6">
        <f>IF(OR(E35="",I35="",K35=""),"",E35*I35*K35)</f>
        <v/>
      </c>
      <c r="M35" s="6">
        <f>IF(L35="","",IF(OR(E35&gt;=9,L35&gt;=200),"High",IF(L35&gt;=100,"Medium","Low")))</f>
        <v/>
      </c>
      <c r="N35" s="4" t="n"/>
      <c r="O35" s="4" t="n"/>
      <c r="P35" s="4" t="n"/>
      <c r="Q35" s="4" t="n"/>
      <c r="R35" s="4" t="n"/>
      <c r="S35" s="4" t="n"/>
      <c r="T35" s="5" t="n"/>
      <c r="U35" s="5" t="n"/>
      <c r="V35" s="5" t="n"/>
      <c r="W35" s="6">
        <f>IF(OR(T35="",U35="",V35=""),"",T35*U35*V35)</f>
        <v/>
      </c>
      <c r="X35" s="6">
        <f>IF(W35="","",IF(OR(T35&gt;=9,W35&gt;=200),"Accept with Management Approval",IF(W35&gt;=100,"Action / Monitor","Accept")))</f>
        <v/>
      </c>
      <c r="Y35" s="4" t="n"/>
      <c r="Z35" s="4" t="n"/>
      <c r="AA35" s="4" t="n"/>
      <c r="AB35" s="4" t="n"/>
      <c r="AC35" s="4" t="n"/>
      <c r="AD35" s="4" t="n"/>
      <c r="AE35" s="4" t="n"/>
    </row>
    <row r="36">
      <c r="A36" s="4" t="n"/>
      <c r="B36" s="4" t="n"/>
      <c r="C36" s="4" t="n"/>
      <c r="D36" s="4" t="n"/>
      <c r="E36" s="5" t="n"/>
      <c r="F36" s="4" t="n"/>
      <c r="G36" s="4" t="n"/>
      <c r="H36" s="4" t="n"/>
      <c r="I36" s="5" t="n"/>
      <c r="J36" s="4" t="n"/>
      <c r="K36" s="5" t="n"/>
      <c r="L36" s="6">
        <f>IF(OR(E36="",I36="",K36=""),"",E36*I36*K36)</f>
        <v/>
      </c>
      <c r="M36" s="6">
        <f>IF(L36="","",IF(OR(E36&gt;=9,L36&gt;=200),"High",IF(L36&gt;=100,"Medium","Low")))</f>
        <v/>
      </c>
      <c r="N36" s="4" t="n"/>
      <c r="O36" s="4" t="n"/>
      <c r="P36" s="4" t="n"/>
      <c r="Q36" s="4" t="n"/>
      <c r="R36" s="4" t="n"/>
      <c r="S36" s="4" t="n"/>
      <c r="T36" s="5" t="n"/>
      <c r="U36" s="5" t="n"/>
      <c r="V36" s="5" t="n"/>
      <c r="W36" s="6">
        <f>IF(OR(T36="",U36="",V36=""),"",T36*U36*V36)</f>
        <v/>
      </c>
      <c r="X36" s="6">
        <f>IF(W36="","",IF(OR(T36&gt;=9,W36&gt;=200),"Accept with Management Approval",IF(W36&gt;=100,"Action / Monitor","Accept")))</f>
        <v/>
      </c>
      <c r="Y36" s="4" t="n"/>
      <c r="Z36" s="4" t="n"/>
      <c r="AA36" s="4" t="n"/>
      <c r="AB36" s="4" t="n"/>
      <c r="AC36" s="4" t="n"/>
      <c r="AD36" s="4" t="n"/>
      <c r="AE36" s="4" t="n"/>
    </row>
    <row r="37">
      <c r="A37" s="4" t="n"/>
      <c r="B37" s="4" t="n"/>
      <c r="C37" s="4" t="n"/>
      <c r="D37" s="4" t="n"/>
      <c r="E37" s="5" t="n"/>
      <c r="F37" s="4" t="n"/>
      <c r="G37" s="4" t="n"/>
      <c r="H37" s="4" t="n"/>
      <c r="I37" s="5" t="n"/>
      <c r="J37" s="4" t="n"/>
      <c r="K37" s="5" t="n"/>
      <c r="L37" s="6">
        <f>IF(OR(E37="",I37="",K37=""),"",E37*I37*K37)</f>
        <v/>
      </c>
      <c r="M37" s="6">
        <f>IF(L37="","",IF(OR(E37&gt;=9,L37&gt;=200),"High",IF(L37&gt;=100,"Medium","Low")))</f>
        <v/>
      </c>
      <c r="N37" s="4" t="n"/>
      <c r="O37" s="4" t="n"/>
      <c r="P37" s="4" t="n"/>
      <c r="Q37" s="4" t="n"/>
      <c r="R37" s="4" t="n"/>
      <c r="S37" s="4" t="n"/>
      <c r="T37" s="5" t="n"/>
      <c r="U37" s="5" t="n"/>
      <c r="V37" s="5" t="n"/>
      <c r="W37" s="6">
        <f>IF(OR(T37="",U37="",V37=""),"",T37*U37*V37)</f>
        <v/>
      </c>
      <c r="X37" s="6">
        <f>IF(W37="","",IF(OR(T37&gt;=9,W37&gt;=200),"Accept with Management Approval",IF(W37&gt;=100,"Action / Monitor","Accept")))</f>
        <v/>
      </c>
      <c r="Y37" s="4" t="n"/>
      <c r="Z37" s="4" t="n"/>
      <c r="AA37" s="4" t="n"/>
      <c r="AB37" s="4" t="n"/>
      <c r="AC37" s="4" t="n"/>
      <c r="AD37" s="4" t="n"/>
      <c r="AE37" s="4" t="n"/>
    </row>
    <row r="38">
      <c r="A38" s="4" t="n"/>
      <c r="B38" s="4" t="n"/>
      <c r="C38" s="4" t="n"/>
      <c r="D38" s="4" t="n"/>
      <c r="E38" s="5" t="n"/>
      <c r="F38" s="4" t="n"/>
      <c r="G38" s="4" t="n"/>
      <c r="H38" s="4" t="n"/>
      <c r="I38" s="5" t="n"/>
      <c r="J38" s="4" t="n"/>
      <c r="K38" s="5" t="n"/>
      <c r="L38" s="6">
        <f>IF(OR(E38="",I38="",K38=""),"",E38*I38*K38)</f>
        <v/>
      </c>
      <c r="M38" s="6">
        <f>IF(L38="","",IF(OR(E38&gt;=9,L38&gt;=200),"High",IF(L38&gt;=100,"Medium","Low")))</f>
        <v/>
      </c>
      <c r="N38" s="4" t="n"/>
      <c r="O38" s="4" t="n"/>
      <c r="P38" s="4" t="n"/>
      <c r="Q38" s="4" t="n"/>
      <c r="R38" s="4" t="n"/>
      <c r="S38" s="4" t="n"/>
      <c r="T38" s="5" t="n"/>
      <c r="U38" s="5" t="n"/>
      <c r="V38" s="5" t="n"/>
      <c r="W38" s="6">
        <f>IF(OR(T38="",U38="",V38=""),"",T38*U38*V38)</f>
        <v/>
      </c>
      <c r="X38" s="6">
        <f>IF(W38="","",IF(OR(T38&gt;=9,W38&gt;=200),"Accept with Management Approval",IF(W38&gt;=100,"Action / Monitor","Accept")))</f>
        <v/>
      </c>
      <c r="Y38" s="4" t="n"/>
      <c r="Z38" s="4" t="n"/>
      <c r="AA38" s="4" t="n"/>
      <c r="AB38" s="4" t="n"/>
      <c r="AC38" s="4" t="n"/>
      <c r="AD38" s="4" t="n"/>
      <c r="AE38" s="4" t="n"/>
    </row>
    <row r="39">
      <c r="A39" s="4" t="n"/>
      <c r="B39" s="4" t="n"/>
      <c r="C39" s="4" t="n"/>
      <c r="D39" s="4" t="n"/>
      <c r="E39" s="5" t="n"/>
      <c r="F39" s="4" t="n"/>
      <c r="G39" s="4" t="n"/>
      <c r="H39" s="4" t="n"/>
      <c r="I39" s="5" t="n"/>
      <c r="J39" s="4" t="n"/>
      <c r="K39" s="5" t="n"/>
      <c r="L39" s="6">
        <f>IF(OR(E39="",I39="",K39=""),"",E39*I39*K39)</f>
        <v/>
      </c>
      <c r="M39" s="6">
        <f>IF(L39="","",IF(OR(E39&gt;=9,L39&gt;=200),"High",IF(L39&gt;=100,"Medium","Low")))</f>
        <v/>
      </c>
      <c r="N39" s="4" t="n"/>
      <c r="O39" s="4" t="n"/>
      <c r="P39" s="4" t="n"/>
      <c r="Q39" s="4" t="n"/>
      <c r="R39" s="4" t="n"/>
      <c r="S39" s="4" t="n"/>
      <c r="T39" s="5" t="n"/>
      <c r="U39" s="5" t="n"/>
      <c r="V39" s="5" t="n"/>
      <c r="W39" s="6">
        <f>IF(OR(T39="",U39="",V39=""),"",T39*U39*V39)</f>
        <v/>
      </c>
      <c r="X39" s="6">
        <f>IF(W39="","",IF(OR(T39&gt;=9,W39&gt;=200),"Accept with Management Approval",IF(W39&gt;=100,"Action / Monitor","Accept")))</f>
        <v/>
      </c>
      <c r="Y39" s="4" t="n"/>
      <c r="Z39" s="4" t="n"/>
      <c r="AA39" s="4" t="n"/>
      <c r="AB39" s="4" t="n"/>
      <c r="AC39" s="4" t="n"/>
      <c r="AD39" s="4" t="n"/>
      <c r="AE39" s="4" t="n"/>
    </row>
    <row r="40">
      <c r="A40" s="4" t="n"/>
      <c r="B40" s="4" t="n"/>
      <c r="C40" s="4" t="n"/>
      <c r="D40" s="4" t="n"/>
      <c r="E40" s="5" t="n"/>
      <c r="F40" s="4" t="n"/>
      <c r="G40" s="4" t="n"/>
      <c r="H40" s="4" t="n"/>
      <c r="I40" s="5" t="n"/>
      <c r="J40" s="4" t="n"/>
      <c r="K40" s="5" t="n"/>
      <c r="L40" s="6">
        <f>IF(OR(E40="",I40="",K40=""),"",E40*I40*K40)</f>
        <v/>
      </c>
      <c r="M40" s="6">
        <f>IF(L40="","",IF(OR(E40&gt;=9,L40&gt;=200),"High",IF(L40&gt;=100,"Medium","Low")))</f>
        <v/>
      </c>
      <c r="N40" s="4" t="n"/>
      <c r="O40" s="4" t="n"/>
      <c r="P40" s="4" t="n"/>
      <c r="Q40" s="4" t="n"/>
      <c r="R40" s="4" t="n"/>
      <c r="S40" s="4" t="n"/>
      <c r="T40" s="5" t="n"/>
      <c r="U40" s="5" t="n"/>
      <c r="V40" s="5" t="n"/>
      <c r="W40" s="6">
        <f>IF(OR(T40="",U40="",V40=""),"",T40*U40*V40)</f>
        <v/>
      </c>
      <c r="X40" s="6">
        <f>IF(W40="","",IF(OR(T40&gt;=9,W40&gt;=200),"Accept with Management Approval",IF(W40&gt;=100,"Action / Monitor","Accept")))</f>
        <v/>
      </c>
      <c r="Y40" s="4" t="n"/>
      <c r="Z40" s="4" t="n"/>
      <c r="AA40" s="4" t="n"/>
      <c r="AB40" s="4" t="n"/>
      <c r="AC40" s="4" t="n"/>
      <c r="AD40" s="4" t="n"/>
      <c r="AE40" s="4" t="n"/>
    </row>
    <row r="41">
      <c r="A41" s="4" t="n"/>
      <c r="B41" s="4" t="n"/>
      <c r="C41" s="4" t="n"/>
      <c r="D41" s="4" t="n"/>
      <c r="E41" s="5" t="n"/>
      <c r="F41" s="4" t="n"/>
      <c r="G41" s="4" t="n"/>
      <c r="H41" s="4" t="n"/>
      <c r="I41" s="5" t="n"/>
      <c r="J41" s="4" t="n"/>
      <c r="K41" s="5" t="n"/>
      <c r="L41" s="6">
        <f>IF(OR(E41="",I41="",K41=""),"",E41*I41*K41)</f>
        <v/>
      </c>
      <c r="M41" s="6">
        <f>IF(L41="","",IF(OR(E41&gt;=9,L41&gt;=200),"High",IF(L41&gt;=100,"Medium","Low")))</f>
        <v/>
      </c>
      <c r="N41" s="4" t="n"/>
      <c r="O41" s="4" t="n"/>
      <c r="P41" s="4" t="n"/>
      <c r="Q41" s="4" t="n"/>
      <c r="R41" s="4" t="n"/>
      <c r="S41" s="4" t="n"/>
      <c r="T41" s="5" t="n"/>
      <c r="U41" s="5" t="n"/>
      <c r="V41" s="5" t="n"/>
      <c r="W41" s="6">
        <f>IF(OR(T41="",U41="",V41=""),"",T41*U41*V41)</f>
        <v/>
      </c>
      <c r="X41" s="6">
        <f>IF(W41="","",IF(OR(T41&gt;=9,W41&gt;=200),"Accept with Management Approval",IF(W41&gt;=100,"Action / Monitor","Accept")))</f>
        <v/>
      </c>
      <c r="Y41" s="4" t="n"/>
      <c r="Z41" s="4" t="n"/>
      <c r="AA41" s="4" t="n"/>
      <c r="AB41" s="4" t="n"/>
      <c r="AC41" s="4" t="n"/>
      <c r="AD41" s="4" t="n"/>
      <c r="AE41" s="4" t="n"/>
    </row>
    <row r="42">
      <c r="A42" s="4" t="n"/>
      <c r="B42" s="4" t="n"/>
      <c r="C42" s="4" t="n"/>
      <c r="D42" s="4" t="n"/>
      <c r="E42" s="5" t="n"/>
      <c r="F42" s="4" t="n"/>
      <c r="G42" s="4" t="n"/>
      <c r="H42" s="4" t="n"/>
      <c r="I42" s="5" t="n"/>
      <c r="J42" s="4" t="n"/>
      <c r="K42" s="5" t="n"/>
      <c r="L42" s="6">
        <f>IF(OR(E42="",I42="",K42=""),"",E42*I42*K42)</f>
        <v/>
      </c>
      <c r="M42" s="6">
        <f>IF(L42="","",IF(OR(E42&gt;=9,L42&gt;=200),"High",IF(L42&gt;=100,"Medium","Low")))</f>
        <v/>
      </c>
      <c r="N42" s="4" t="n"/>
      <c r="O42" s="4" t="n"/>
      <c r="P42" s="4" t="n"/>
      <c r="Q42" s="4" t="n"/>
      <c r="R42" s="4" t="n"/>
      <c r="S42" s="4" t="n"/>
      <c r="T42" s="5" t="n"/>
      <c r="U42" s="5" t="n"/>
      <c r="V42" s="5" t="n"/>
      <c r="W42" s="6">
        <f>IF(OR(T42="",U42="",V42=""),"",T42*U42*V42)</f>
        <v/>
      </c>
      <c r="X42" s="6">
        <f>IF(W42="","",IF(OR(T42&gt;=9,W42&gt;=200),"Accept with Management Approval",IF(W42&gt;=100,"Action / Monitor","Accept")))</f>
        <v/>
      </c>
      <c r="Y42" s="4" t="n"/>
      <c r="Z42" s="4" t="n"/>
      <c r="AA42" s="4" t="n"/>
      <c r="AB42" s="4" t="n"/>
      <c r="AC42" s="4" t="n"/>
      <c r="AD42" s="4" t="n"/>
      <c r="AE42" s="4" t="n"/>
    </row>
    <row r="43">
      <c r="A43" s="4" t="n"/>
      <c r="B43" s="4" t="n"/>
      <c r="C43" s="4" t="n"/>
      <c r="D43" s="4" t="n"/>
      <c r="E43" s="5" t="n"/>
      <c r="F43" s="4" t="n"/>
      <c r="G43" s="4" t="n"/>
      <c r="H43" s="4" t="n"/>
      <c r="I43" s="5" t="n"/>
      <c r="J43" s="4" t="n"/>
      <c r="K43" s="5" t="n"/>
      <c r="L43" s="6">
        <f>IF(OR(E43="",I43="",K43=""),"",E43*I43*K43)</f>
        <v/>
      </c>
      <c r="M43" s="6">
        <f>IF(L43="","",IF(OR(E43&gt;=9,L43&gt;=200),"High",IF(L43&gt;=100,"Medium","Low")))</f>
        <v/>
      </c>
      <c r="N43" s="4" t="n"/>
      <c r="O43" s="4" t="n"/>
      <c r="P43" s="4" t="n"/>
      <c r="Q43" s="4" t="n"/>
      <c r="R43" s="4" t="n"/>
      <c r="S43" s="4" t="n"/>
      <c r="T43" s="5" t="n"/>
      <c r="U43" s="5" t="n"/>
      <c r="V43" s="5" t="n"/>
      <c r="W43" s="6">
        <f>IF(OR(T43="",U43="",V43=""),"",T43*U43*V43)</f>
        <v/>
      </c>
      <c r="X43" s="6">
        <f>IF(W43="","",IF(OR(T43&gt;=9,W43&gt;=200),"Accept with Management Approval",IF(W43&gt;=100,"Action / Monitor","Accept")))</f>
        <v/>
      </c>
      <c r="Y43" s="4" t="n"/>
      <c r="Z43" s="4" t="n"/>
      <c r="AA43" s="4" t="n"/>
      <c r="AB43" s="4" t="n"/>
      <c r="AC43" s="4" t="n"/>
      <c r="AD43" s="4" t="n"/>
      <c r="AE43" s="4" t="n"/>
    </row>
    <row r="44">
      <c r="A44" s="4" t="n"/>
      <c r="B44" s="4" t="n"/>
      <c r="C44" s="4" t="n"/>
      <c r="D44" s="4" t="n"/>
      <c r="E44" s="5" t="n"/>
      <c r="F44" s="4" t="n"/>
      <c r="G44" s="4" t="n"/>
      <c r="H44" s="4" t="n"/>
      <c r="I44" s="5" t="n"/>
      <c r="J44" s="4" t="n"/>
      <c r="K44" s="5" t="n"/>
      <c r="L44" s="6">
        <f>IF(OR(E44="",I44="",K44=""),"",E44*I44*K44)</f>
        <v/>
      </c>
      <c r="M44" s="6">
        <f>IF(L44="","",IF(OR(E44&gt;=9,L44&gt;=200),"High",IF(L44&gt;=100,"Medium","Low")))</f>
        <v/>
      </c>
      <c r="N44" s="4" t="n"/>
      <c r="O44" s="4" t="n"/>
      <c r="P44" s="4" t="n"/>
      <c r="Q44" s="4" t="n"/>
      <c r="R44" s="4" t="n"/>
      <c r="S44" s="4" t="n"/>
      <c r="T44" s="5" t="n"/>
      <c r="U44" s="5" t="n"/>
      <c r="V44" s="5" t="n"/>
      <c r="W44" s="6">
        <f>IF(OR(T44="",U44="",V44=""),"",T44*U44*V44)</f>
        <v/>
      </c>
      <c r="X44" s="6">
        <f>IF(W44="","",IF(OR(T44&gt;=9,W44&gt;=200),"Accept with Management Approval",IF(W44&gt;=100,"Action / Monitor","Accept")))</f>
        <v/>
      </c>
      <c r="Y44" s="4" t="n"/>
      <c r="Z44" s="4" t="n"/>
      <c r="AA44" s="4" t="n"/>
      <c r="AB44" s="4" t="n"/>
      <c r="AC44" s="4" t="n"/>
      <c r="AD44" s="4" t="n"/>
      <c r="AE44" s="4" t="n"/>
    </row>
    <row r="45">
      <c r="A45" s="4" t="n"/>
      <c r="B45" s="4" t="n"/>
      <c r="C45" s="4" t="n"/>
      <c r="D45" s="4" t="n"/>
      <c r="E45" s="5" t="n"/>
      <c r="F45" s="4" t="n"/>
      <c r="G45" s="4" t="n"/>
      <c r="H45" s="4" t="n"/>
      <c r="I45" s="5" t="n"/>
      <c r="J45" s="4" t="n"/>
      <c r="K45" s="5" t="n"/>
      <c r="L45" s="6">
        <f>IF(OR(E45="",I45="",K45=""),"",E45*I45*K45)</f>
        <v/>
      </c>
      <c r="M45" s="6">
        <f>IF(L45="","",IF(OR(E45&gt;=9,L45&gt;=200),"High",IF(L45&gt;=100,"Medium","Low")))</f>
        <v/>
      </c>
      <c r="N45" s="4" t="n"/>
      <c r="O45" s="4" t="n"/>
      <c r="P45" s="4" t="n"/>
      <c r="Q45" s="4" t="n"/>
      <c r="R45" s="4" t="n"/>
      <c r="S45" s="4" t="n"/>
      <c r="T45" s="5" t="n"/>
      <c r="U45" s="5" t="n"/>
      <c r="V45" s="5" t="n"/>
      <c r="W45" s="6">
        <f>IF(OR(T45="",U45="",V45=""),"",T45*U45*V45)</f>
        <v/>
      </c>
      <c r="X45" s="6">
        <f>IF(W45="","",IF(OR(T45&gt;=9,W45&gt;=200),"Accept with Management Approval",IF(W45&gt;=100,"Action / Monitor","Accept")))</f>
        <v/>
      </c>
      <c r="Y45" s="4" t="n"/>
      <c r="Z45" s="4" t="n"/>
      <c r="AA45" s="4" t="n"/>
      <c r="AB45" s="4" t="n"/>
      <c r="AC45" s="4" t="n"/>
      <c r="AD45" s="4" t="n"/>
      <c r="AE45" s="4" t="n"/>
    </row>
    <row r="46">
      <c r="A46" s="4" t="n"/>
      <c r="B46" s="4" t="n"/>
      <c r="C46" s="4" t="n"/>
      <c r="D46" s="4" t="n"/>
      <c r="E46" s="5" t="n"/>
      <c r="F46" s="4" t="n"/>
      <c r="G46" s="4" t="n"/>
      <c r="H46" s="4" t="n"/>
      <c r="I46" s="5" t="n"/>
      <c r="J46" s="4" t="n"/>
      <c r="K46" s="5" t="n"/>
      <c r="L46" s="6">
        <f>IF(OR(E46="",I46="",K46=""),"",E46*I46*K46)</f>
        <v/>
      </c>
      <c r="M46" s="6">
        <f>IF(L46="","",IF(OR(E46&gt;=9,L46&gt;=200),"High",IF(L46&gt;=100,"Medium","Low")))</f>
        <v/>
      </c>
      <c r="N46" s="4" t="n"/>
      <c r="O46" s="4" t="n"/>
      <c r="P46" s="4" t="n"/>
      <c r="Q46" s="4" t="n"/>
      <c r="R46" s="4" t="n"/>
      <c r="S46" s="4" t="n"/>
      <c r="T46" s="5" t="n"/>
      <c r="U46" s="5" t="n"/>
      <c r="V46" s="5" t="n"/>
      <c r="W46" s="6">
        <f>IF(OR(T46="",U46="",V46=""),"",T46*U46*V46)</f>
        <v/>
      </c>
      <c r="X46" s="6">
        <f>IF(W46="","",IF(OR(T46&gt;=9,W46&gt;=200),"Accept with Management Approval",IF(W46&gt;=100,"Action / Monitor","Accept")))</f>
        <v/>
      </c>
      <c r="Y46" s="4" t="n"/>
      <c r="Z46" s="4" t="n"/>
      <c r="AA46" s="4" t="n"/>
      <c r="AB46" s="4" t="n"/>
      <c r="AC46" s="4" t="n"/>
      <c r="AD46" s="4" t="n"/>
      <c r="AE46" s="4" t="n"/>
    </row>
    <row r="47">
      <c r="A47" s="4" t="n"/>
      <c r="B47" s="4" t="n"/>
      <c r="C47" s="4" t="n"/>
      <c r="D47" s="4" t="n"/>
      <c r="E47" s="5" t="n"/>
      <c r="F47" s="4" t="n"/>
      <c r="G47" s="4" t="n"/>
      <c r="H47" s="4" t="n"/>
      <c r="I47" s="5" t="n"/>
      <c r="J47" s="4" t="n"/>
      <c r="K47" s="5" t="n"/>
      <c r="L47" s="6">
        <f>IF(OR(E47="",I47="",K47=""),"",E47*I47*K47)</f>
        <v/>
      </c>
      <c r="M47" s="6">
        <f>IF(L47="","",IF(OR(E47&gt;=9,L47&gt;=200),"High",IF(L47&gt;=100,"Medium","Low")))</f>
        <v/>
      </c>
      <c r="N47" s="4" t="n"/>
      <c r="O47" s="4" t="n"/>
      <c r="P47" s="4" t="n"/>
      <c r="Q47" s="4" t="n"/>
      <c r="R47" s="4" t="n"/>
      <c r="S47" s="4" t="n"/>
      <c r="T47" s="5" t="n"/>
      <c r="U47" s="5" t="n"/>
      <c r="V47" s="5" t="n"/>
      <c r="W47" s="6">
        <f>IF(OR(T47="",U47="",V47=""),"",T47*U47*V47)</f>
        <v/>
      </c>
      <c r="X47" s="6">
        <f>IF(W47="","",IF(OR(T47&gt;=9,W47&gt;=200),"Accept with Management Approval",IF(W47&gt;=100,"Action / Monitor","Accept")))</f>
        <v/>
      </c>
      <c r="Y47" s="4" t="n"/>
      <c r="Z47" s="4" t="n"/>
      <c r="AA47" s="4" t="n"/>
      <c r="AB47" s="4" t="n"/>
      <c r="AC47" s="4" t="n"/>
      <c r="AD47" s="4" t="n"/>
      <c r="AE47" s="4" t="n"/>
    </row>
    <row r="48">
      <c r="A48" s="4" t="n"/>
      <c r="B48" s="4" t="n"/>
      <c r="C48" s="4" t="n"/>
      <c r="D48" s="4" t="n"/>
      <c r="E48" s="5" t="n"/>
      <c r="F48" s="4" t="n"/>
      <c r="G48" s="4" t="n"/>
      <c r="H48" s="4" t="n"/>
      <c r="I48" s="5" t="n"/>
      <c r="J48" s="4" t="n"/>
      <c r="K48" s="5" t="n"/>
      <c r="L48" s="6">
        <f>IF(OR(E48="",I48="",K48=""),"",E48*I48*K48)</f>
        <v/>
      </c>
      <c r="M48" s="6">
        <f>IF(L48="","",IF(OR(E48&gt;=9,L48&gt;=200),"High",IF(L48&gt;=100,"Medium","Low")))</f>
        <v/>
      </c>
      <c r="N48" s="4" t="n"/>
      <c r="O48" s="4" t="n"/>
      <c r="P48" s="4" t="n"/>
      <c r="Q48" s="4" t="n"/>
      <c r="R48" s="4" t="n"/>
      <c r="S48" s="4" t="n"/>
      <c r="T48" s="5" t="n"/>
      <c r="U48" s="5" t="n"/>
      <c r="V48" s="5" t="n"/>
      <c r="W48" s="6">
        <f>IF(OR(T48="",U48="",V48=""),"",T48*U48*V48)</f>
        <v/>
      </c>
      <c r="X48" s="6">
        <f>IF(W48="","",IF(OR(T48&gt;=9,W48&gt;=200),"Accept with Management Approval",IF(W48&gt;=100,"Action / Monitor","Accept")))</f>
        <v/>
      </c>
      <c r="Y48" s="4" t="n"/>
      <c r="Z48" s="4" t="n"/>
      <c r="AA48" s="4" t="n"/>
      <c r="AB48" s="4" t="n"/>
      <c r="AC48" s="4" t="n"/>
      <c r="AD48" s="4" t="n"/>
      <c r="AE48" s="4" t="n"/>
    </row>
    <row r="49">
      <c r="A49" s="4" t="n"/>
      <c r="B49" s="4" t="n"/>
      <c r="C49" s="4" t="n"/>
      <c r="D49" s="4" t="n"/>
      <c r="E49" s="5" t="n"/>
      <c r="F49" s="4" t="n"/>
      <c r="G49" s="4" t="n"/>
      <c r="H49" s="4" t="n"/>
      <c r="I49" s="5" t="n"/>
      <c r="J49" s="4" t="n"/>
      <c r="K49" s="5" t="n"/>
      <c r="L49" s="6">
        <f>IF(OR(E49="",I49="",K49=""),"",E49*I49*K49)</f>
        <v/>
      </c>
      <c r="M49" s="6">
        <f>IF(L49="","",IF(OR(E49&gt;=9,L49&gt;=200),"High",IF(L49&gt;=100,"Medium","Low")))</f>
        <v/>
      </c>
      <c r="N49" s="4" t="n"/>
      <c r="O49" s="4" t="n"/>
      <c r="P49" s="4" t="n"/>
      <c r="Q49" s="4" t="n"/>
      <c r="R49" s="4" t="n"/>
      <c r="S49" s="4" t="n"/>
      <c r="T49" s="5" t="n"/>
      <c r="U49" s="5" t="n"/>
      <c r="V49" s="5" t="n"/>
      <c r="W49" s="6">
        <f>IF(OR(T49="",U49="",V49=""),"",T49*U49*V49)</f>
        <v/>
      </c>
      <c r="X49" s="6">
        <f>IF(W49="","",IF(OR(T49&gt;=9,W49&gt;=200),"Accept with Management Approval",IF(W49&gt;=100,"Action / Monitor","Accept")))</f>
        <v/>
      </c>
      <c r="Y49" s="4" t="n"/>
      <c r="Z49" s="4" t="n"/>
      <c r="AA49" s="4" t="n"/>
      <c r="AB49" s="4" t="n"/>
      <c r="AC49" s="4" t="n"/>
      <c r="AD49" s="4" t="n"/>
      <c r="AE49" s="4" t="n"/>
    </row>
    <row r="50">
      <c r="A50" s="4" t="n"/>
      <c r="B50" s="4" t="n"/>
      <c r="C50" s="4" t="n"/>
      <c r="D50" s="4" t="n"/>
      <c r="E50" s="5" t="n"/>
      <c r="F50" s="4" t="n"/>
      <c r="G50" s="4" t="n"/>
      <c r="H50" s="4" t="n"/>
      <c r="I50" s="5" t="n"/>
      <c r="J50" s="4" t="n"/>
      <c r="K50" s="5" t="n"/>
      <c r="L50" s="6">
        <f>IF(OR(E50="",I50="",K50=""),"",E50*I50*K50)</f>
        <v/>
      </c>
      <c r="M50" s="6">
        <f>IF(L50="","",IF(OR(E50&gt;=9,L50&gt;=200),"High",IF(L50&gt;=100,"Medium","Low")))</f>
        <v/>
      </c>
      <c r="N50" s="4" t="n"/>
      <c r="O50" s="4" t="n"/>
      <c r="P50" s="4" t="n"/>
      <c r="Q50" s="4" t="n"/>
      <c r="R50" s="4" t="n"/>
      <c r="S50" s="4" t="n"/>
      <c r="T50" s="5" t="n"/>
      <c r="U50" s="5" t="n"/>
      <c r="V50" s="5" t="n"/>
      <c r="W50" s="6">
        <f>IF(OR(T50="",U50="",V50=""),"",T50*U50*V50)</f>
        <v/>
      </c>
      <c r="X50" s="6">
        <f>IF(W50="","",IF(OR(T50&gt;=9,W50&gt;=200),"Accept with Management Approval",IF(W50&gt;=100,"Action / Monitor","Accept")))</f>
        <v/>
      </c>
      <c r="Y50" s="4" t="n"/>
      <c r="Z50" s="4" t="n"/>
      <c r="AA50" s="4" t="n"/>
      <c r="AB50" s="4" t="n"/>
      <c r="AC50" s="4" t="n"/>
      <c r="AD50" s="4" t="n"/>
      <c r="AE50" s="4" t="n"/>
    </row>
    <row r="51">
      <c r="A51" s="4" t="n"/>
      <c r="B51" s="4" t="n"/>
      <c r="C51" s="4" t="n"/>
      <c r="D51" s="4" t="n"/>
      <c r="E51" s="5" t="n"/>
      <c r="F51" s="4" t="n"/>
      <c r="G51" s="4" t="n"/>
      <c r="H51" s="4" t="n"/>
      <c r="I51" s="5" t="n"/>
      <c r="J51" s="4" t="n"/>
      <c r="K51" s="5" t="n"/>
      <c r="L51" s="6">
        <f>IF(OR(E51="",I51="",K51=""),"",E51*I51*K51)</f>
        <v/>
      </c>
      <c r="M51" s="6">
        <f>IF(L51="","",IF(OR(E51&gt;=9,L51&gt;=200),"High",IF(L51&gt;=100,"Medium","Low")))</f>
        <v/>
      </c>
      <c r="N51" s="4" t="n"/>
      <c r="O51" s="4" t="n"/>
      <c r="P51" s="4" t="n"/>
      <c r="Q51" s="4" t="n"/>
      <c r="R51" s="4" t="n"/>
      <c r="S51" s="4" t="n"/>
      <c r="T51" s="5" t="n"/>
      <c r="U51" s="5" t="n"/>
      <c r="V51" s="5" t="n"/>
      <c r="W51" s="6">
        <f>IF(OR(T51="",U51="",V51=""),"",T51*U51*V51)</f>
        <v/>
      </c>
      <c r="X51" s="6">
        <f>IF(W51="","",IF(OR(T51&gt;=9,W51&gt;=200),"Accept with Management Approval",IF(W51&gt;=100,"Action / Monitor","Accept")))</f>
        <v/>
      </c>
      <c r="Y51" s="4" t="n"/>
      <c r="Z51" s="4" t="n"/>
      <c r="AA51" s="4" t="n"/>
      <c r="AB51" s="4" t="n"/>
      <c r="AC51" s="4" t="n"/>
      <c r="AD51" s="4" t="n"/>
      <c r="AE51" s="4" t="n"/>
    </row>
    <row r="52">
      <c r="A52" s="4" t="n"/>
      <c r="B52" s="4" t="n"/>
      <c r="C52" s="4" t="n"/>
      <c r="D52" s="4" t="n"/>
      <c r="E52" s="5" t="n"/>
      <c r="F52" s="4" t="n"/>
      <c r="G52" s="4" t="n"/>
      <c r="H52" s="4" t="n"/>
      <c r="I52" s="5" t="n"/>
      <c r="J52" s="4" t="n"/>
      <c r="K52" s="5" t="n"/>
      <c r="L52" s="6">
        <f>IF(OR(E52="",I52="",K52=""),"",E52*I52*K52)</f>
        <v/>
      </c>
      <c r="M52" s="6">
        <f>IF(L52="","",IF(OR(E52&gt;=9,L52&gt;=200),"High",IF(L52&gt;=100,"Medium","Low")))</f>
        <v/>
      </c>
      <c r="N52" s="4" t="n"/>
      <c r="O52" s="4" t="n"/>
      <c r="P52" s="4" t="n"/>
      <c r="Q52" s="4" t="n"/>
      <c r="R52" s="4" t="n"/>
      <c r="S52" s="4" t="n"/>
      <c r="T52" s="5" t="n"/>
      <c r="U52" s="5" t="n"/>
      <c r="V52" s="5" t="n"/>
      <c r="W52" s="6">
        <f>IF(OR(T52="",U52="",V52=""),"",T52*U52*V52)</f>
        <v/>
      </c>
      <c r="X52" s="6">
        <f>IF(W52="","",IF(OR(T52&gt;=9,W52&gt;=200),"Accept with Management Approval",IF(W52&gt;=100,"Action / Monitor","Accept")))</f>
        <v/>
      </c>
      <c r="Y52" s="4" t="n"/>
      <c r="Z52" s="4" t="n"/>
      <c r="AA52" s="4" t="n"/>
      <c r="AB52" s="4" t="n"/>
      <c r="AC52" s="4" t="n"/>
      <c r="AD52" s="4" t="n"/>
      <c r="AE52" s="4" t="n"/>
    </row>
    <row r="53">
      <c r="A53" s="4" t="n"/>
      <c r="B53" s="4" t="n"/>
      <c r="C53" s="4" t="n"/>
      <c r="D53" s="4" t="n"/>
      <c r="E53" s="5" t="n"/>
      <c r="F53" s="4" t="n"/>
      <c r="G53" s="4" t="n"/>
      <c r="H53" s="4" t="n"/>
      <c r="I53" s="5" t="n"/>
      <c r="J53" s="4" t="n"/>
      <c r="K53" s="5" t="n"/>
      <c r="L53" s="6">
        <f>IF(OR(E53="",I53="",K53=""),"",E53*I53*K53)</f>
        <v/>
      </c>
      <c r="M53" s="6">
        <f>IF(L53="","",IF(OR(E53&gt;=9,L53&gt;=200),"High",IF(L53&gt;=100,"Medium","Low")))</f>
        <v/>
      </c>
      <c r="N53" s="4" t="n"/>
      <c r="O53" s="4" t="n"/>
      <c r="P53" s="4" t="n"/>
      <c r="Q53" s="4" t="n"/>
      <c r="R53" s="4" t="n"/>
      <c r="S53" s="4" t="n"/>
      <c r="T53" s="5" t="n"/>
      <c r="U53" s="5" t="n"/>
      <c r="V53" s="5" t="n"/>
      <c r="W53" s="6">
        <f>IF(OR(T53="",U53="",V53=""),"",T53*U53*V53)</f>
        <v/>
      </c>
      <c r="X53" s="6">
        <f>IF(W53="","",IF(OR(T53&gt;=9,W53&gt;=200),"Accept with Management Approval",IF(W53&gt;=100,"Action / Monitor","Accept")))</f>
        <v/>
      </c>
      <c r="Y53" s="4" t="n"/>
      <c r="Z53" s="4" t="n"/>
      <c r="AA53" s="4" t="n"/>
      <c r="AB53" s="4" t="n"/>
      <c r="AC53" s="4" t="n"/>
      <c r="AD53" s="4" t="n"/>
      <c r="AE53" s="4" t="n"/>
    </row>
    <row r="54">
      <c r="A54" s="4" t="n"/>
      <c r="B54" s="4" t="n"/>
      <c r="C54" s="4" t="n"/>
      <c r="D54" s="4" t="n"/>
      <c r="E54" s="5" t="n"/>
      <c r="F54" s="4" t="n"/>
      <c r="G54" s="4" t="n"/>
      <c r="H54" s="4" t="n"/>
      <c r="I54" s="5" t="n"/>
      <c r="J54" s="4" t="n"/>
      <c r="K54" s="5" t="n"/>
      <c r="L54" s="6">
        <f>IF(OR(E54="",I54="",K54=""),"",E54*I54*K54)</f>
        <v/>
      </c>
      <c r="M54" s="6">
        <f>IF(L54="","",IF(OR(E54&gt;=9,L54&gt;=200),"High",IF(L54&gt;=100,"Medium","Low")))</f>
        <v/>
      </c>
      <c r="N54" s="4" t="n"/>
      <c r="O54" s="4" t="n"/>
      <c r="P54" s="4" t="n"/>
      <c r="Q54" s="4" t="n"/>
      <c r="R54" s="4" t="n"/>
      <c r="S54" s="4" t="n"/>
      <c r="T54" s="5" t="n"/>
      <c r="U54" s="5" t="n"/>
      <c r="V54" s="5" t="n"/>
      <c r="W54" s="6">
        <f>IF(OR(T54="",U54="",V54=""),"",T54*U54*V54)</f>
        <v/>
      </c>
      <c r="X54" s="6">
        <f>IF(W54="","",IF(OR(T54&gt;=9,W54&gt;=200),"Accept with Management Approval",IF(W54&gt;=100,"Action / Monitor","Accept")))</f>
        <v/>
      </c>
      <c r="Y54" s="4" t="n"/>
      <c r="Z54" s="4" t="n"/>
      <c r="AA54" s="4" t="n"/>
      <c r="AB54" s="4" t="n"/>
      <c r="AC54" s="4" t="n"/>
      <c r="AD54" s="4" t="n"/>
      <c r="AE54" s="4" t="n"/>
    </row>
    <row r="55">
      <c r="A55" s="4" t="n"/>
      <c r="B55" s="4" t="n"/>
      <c r="C55" s="4" t="n"/>
      <c r="D55" s="4" t="n"/>
      <c r="E55" s="5" t="n"/>
      <c r="F55" s="4" t="n"/>
      <c r="G55" s="4" t="n"/>
      <c r="H55" s="4" t="n"/>
      <c r="I55" s="5" t="n"/>
      <c r="J55" s="4" t="n"/>
      <c r="K55" s="5" t="n"/>
      <c r="L55" s="6">
        <f>IF(OR(E55="",I55="",K55=""),"",E55*I55*K55)</f>
        <v/>
      </c>
      <c r="M55" s="6">
        <f>IF(L55="","",IF(OR(E55&gt;=9,L55&gt;=200),"High",IF(L55&gt;=100,"Medium","Low")))</f>
        <v/>
      </c>
      <c r="N55" s="4" t="n"/>
      <c r="O55" s="4" t="n"/>
      <c r="P55" s="4" t="n"/>
      <c r="Q55" s="4" t="n"/>
      <c r="R55" s="4" t="n"/>
      <c r="S55" s="4" t="n"/>
      <c r="T55" s="5" t="n"/>
      <c r="U55" s="5" t="n"/>
      <c r="V55" s="5" t="n"/>
      <c r="W55" s="6">
        <f>IF(OR(T55="",U55="",V55=""),"",T55*U55*V55)</f>
        <v/>
      </c>
      <c r="X55" s="6">
        <f>IF(W55="","",IF(OR(T55&gt;=9,W55&gt;=200),"Accept with Management Approval",IF(W55&gt;=100,"Action / Monitor","Accept")))</f>
        <v/>
      </c>
      <c r="Y55" s="4" t="n"/>
      <c r="Z55" s="4" t="n"/>
      <c r="AA55" s="4" t="n"/>
      <c r="AB55" s="4" t="n"/>
      <c r="AC55" s="4" t="n"/>
      <c r="AD55" s="4" t="n"/>
      <c r="AE55" s="4" t="n"/>
    </row>
    <row r="56">
      <c r="A56" s="4" t="n"/>
      <c r="B56" s="4" t="n"/>
      <c r="C56" s="4" t="n"/>
      <c r="D56" s="4" t="n"/>
      <c r="E56" s="5" t="n"/>
      <c r="F56" s="4" t="n"/>
      <c r="G56" s="4" t="n"/>
      <c r="H56" s="4" t="n"/>
      <c r="I56" s="5" t="n"/>
      <c r="J56" s="4" t="n"/>
      <c r="K56" s="5" t="n"/>
      <c r="L56" s="6">
        <f>IF(OR(E56="",I56="",K56=""),"",E56*I56*K56)</f>
        <v/>
      </c>
      <c r="M56" s="6">
        <f>IF(L56="","",IF(OR(E56&gt;=9,L56&gt;=200),"High",IF(L56&gt;=100,"Medium","Low")))</f>
        <v/>
      </c>
      <c r="N56" s="4" t="n"/>
      <c r="O56" s="4" t="n"/>
      <c r="P56" s="4" t="n"/>
      <c r="Q56" s="4" t="n"/>
      <c r="R56" s="4" t="n"/>
      <c r="S56" s="4" t="n"/>
      <c r="T56" s="5" t="n"/>
      <c r="U56" s="5" t="n"/>
      <c r="V56" s="5" t="n"/>
      <c r="W56" s="6">
        <f>IF(OR(T56="",U56="",V56=""),"",T56*U56*V56)</f>
        <v/>
      </c>
      <c r="X56" s="6">
        <f>IF(W56="","",IF(OR(T56&gt;=9,W56&gt;=200),"Accept with Management Approval",IF(W56&gt;=100,"Action / Monitor","Accept")))</f>
        <v/>
      </c>
      <c r="Y56" s="4" t="n"/>
      <c r="Z56" s="4" t="n"/>
      <c r="AA56" s="4" t="n"/>
      <c r="AB56" s="4" t="n"/>
      <c r="AC56" s="4" t="n"/>
      <c r="AD56" s="4" t="n"/>
      <c r="AE56" s="4" t="n"/>
    </row>
    <row r="57">
      <c r="A57" s="4" t="n"/>
      <c r="B57" s="4" t="n"/>
      <c r="C57" s="4" t="n"/>
      <c r="D57" s="4" t="n"/>
      <c r="E57" s="5" t="n"/>
      <c r="F57" s="4" t="n"/>
      <c r="G57" s="4" t="n"/>
      <c r="H57" s="4" t="n"/>
      <c r="I57" s="5" t="n"/>
      <c r="J57" s="4" t="n"/>
      <c r="K57" s="5" t="n"/>
      <c r="L57" s="6">
        <f>IF(OR(E57="",I57="",K57=""),"",E57*I57*K57)</f>
        <v/>
      </c>
      <c r="M57" s="6">
        <f>IF(L57="","",IF(OR(E57&gt;=9,L57&gt;=200),"High",IF(L57&gt;=100,"Medium","Low")))</f>
        <v/>
      </c>
      <c r="N57" s="4" t="n"/>
      <c r="O57" s="4" t="n"/>
      <c r="P57" s="4" t="n"/>
      <c r="Q57" s="4" t="n"/>
      <c r="R57" s="4" t="n"/>
      <c r="S57" s="4" t="n"/>
      <c r="T57" s="5" t="n"/>
      <c r="U57" s="5" t="n"/>
      <c r="V57" s="5" t="n"/>
      <c r="W57" s="6">
        <f>IF(OR(T57="",U57="",V57=""),"",T57*U57*V57)</f>
        <v/>
      </c>
      <c r="X57" s="6">
        <f>IF(W57="","",IF(OR(T57&gt;=9,W57&gt;=200),"Accept with Management Approval",IF(W57&gt;=100,"Action / Monitor","Accept")))</f>
        <v/>
      </c>
      <c r="Y57" s="4" t="n"/>
      <c r="Z57" s="4" t="n"/>
      <c r="AA57" s="4" t="n"/>
      <c r="AB57" s="4" t="n"/>
      <c r="AC57" s="4" t="n"/>
      <c r="AD57" s="4" t="n"/>
      <c r="AE57" s="4" t="n"/>
    </row>
    <row r="58">
      <c r="A58" s="4" t="n"/>
      <c r="B58" s="4" t="n"/>
      <c r="C58" s="4" t="n"/>
      <c r="D58" s="4" t="n"/>
      <c r="E58" s="5" t="n"/>
      <c r="F58" s="4" t="n"/>
      <c r="G58" s="4" t="n"/>
      <c r="H58" s="4" t="n"/>
      <c r="I58" s="5" t="n"/>
      <c r="J58" s="4" t="n"/>
      <c r="K58" s="5" t="n"/>
      <c r="L58" s="6">
        <f>IF(OR(E58="",I58="",K58=""),"",E58*I58*K58)</f>
        <v/>
      </c>
      <c r="M58" s="6">
        <f>IF(L58="","",IF(OR(E58&gt;=9,L58&gt;=200),"High",IF(L58&gt;=100,"Medium","Low")))</f>
        <v/>
      </c>
      <c r="N58" s="4" t="n"/>
      <c r="O58" s="4" t="n"/>
      <c r="P58" s="4" t="n"/>
      <c r="Q58" s="4" t="n"/>
      <c r="R58" s="4" t="n"/>
      <c r="S58" s="4" t="n"/>
      <c r="T58" s="5" t="n"/>
      <c r="U58" s="5" t="n"/>
      <c r="V58" s="5" t="n"/>
      <c r="W58" s="6">
        <f>IF(OR(T58="",U58="",V58=""),"",T58*U58*V58)</f>
        <v/>
      </c>
      <c r="X58" s="6">
        <f>IF(W58="","",IF(OR(T58&gt;=9,W58&gt;=200),"Accept with Management Approval",IF(W58&gt;=100,"Action / Monitor","Accept")))</f>
        <v/>
      </c>
      <c r="Y58" s="4" t="n"/>
      <c r="Z58" s="4" t="n"/>
      <c r="AA58" s="4" t="n"/>
      <c r="AB58" s="4" t="n"/>
      <c r="AC58" s="4" t="n"/>
      <c r="AD58" s="4" t="n"/>
      <c r="AE58" s="4" t="n"/>
    </row>
    <row r="59">
      <c r="A59" s="4" t="n"/>
      <c r="B59" s="4" t="n"/>
      <c r="C59" s="4" t="n"/>
      <c r="D59" s="4" t="n"/>
      <c r="E59" s="5" t="n"/>
      <c r="F59" s="4" t="n"/>
      <c r="G59" s="4" t="n"/>
      <c r="H59" s="4" t="n"/>
      <c r="I59" s="5" t="n"/>
      <c r="J59" s="4" t="n"/>
      <c r="K59" s="5" t="n"/>
      <c r="L59" s="6">
        <f>IF(OR(E59="",I59="",K59=""),"",E59*I59*K59)</f>
        <v/>
      </c>
      <c r="M59" s="6">
        <f>IF(L59="","",IF(OR(E59&gt;=9,L59&gt;=200),"High",IF(L59&gt;=100,"Medium","Low")))</f>
        <v/>
      </c>
      <c r="N59" s="4" t="n"/>
      <c r="O59" s="4" t="n"/>
      <c r="P59" s="4" t="n"/>
      <c r="Q59" s="4" t="n"/>
      <c r="R59" s="4" t="n"/>
      <c r="S59" s="4" t="n"/>
      <c r="T59" s="5" t="n"/>
      <c r="U59" s="5" t="n"/>
      <c r="V59" s="5" t="n"/>
      <c r="W59" s="6">
        <f>IF(OR(T59="",U59="",V59=""),"",T59*U59*V59)</f>
        <v/>
      </c>
      <c r="X59" s="6">
        <f>IF(W59="","",IF(OR(T59&gt;=9,W59&gt;=200),"Accept with Management Approval",IF(W59&gt;=100,"Action / Monitor","Accept")))</f>
        <v/>
      </c>
      <c r="Y59" s="4" t="n"/>
      <c r="Z59" s="4" t="n"/>
      <c r="AA59" s="4" t="n"/>
      <c r="AB59" s="4" t="n"/>
      <c r="AC59" s="4" t="n"/>
      <c r="AD59" s="4" t="n"/>
      <c r="AE59" s="4" t="n"/>
    </row>
    <row r="60">
      <c r="A60" s="4" t="n"/>
      <c r="B60" s="4" t="n"/>
      <c r="C60" s="4" t="n"/>
      <c r="D60" s="4" t="n"/>
      <c r="E60" s="5" t="n"/>
      <c r="F60" s="4" t="n"/>
      <c r="G60" s="4" t="n"/>
      <c r="H60" s="4" t="n"/>
      <c r="I60" s="5" t="n"/>
      <c r="J60" s="4" t="n"/>
      <c r="K60" s="5" t="n"/>
      <c r="L60" s="6">
        <f>IF(OR(E60="",I60="",K60=""),"",E60*I60*K60)</f>
        <v/>
      </c>
      <c r="M60" s="6">
        <f>IF(L60="","",IF(OR(E60&gt;=9,L60&gt;=200),"High",IF(L60&gt;=100,"Medium","Low")))</f>
        <v/>
      </c>
      <c r="N60" s="4" t="n"/>
      <c r="O60" s="4" t="n"/>
      <c r="P60" s="4" t="n"/>
      <c r="Q60" s="4" t="n"/>
      <c r="R60" s="4" t="n"/>
      <c r="S60" s="4" t="n"/>
      <c r="T60" s="5" t="n"/>
      <c r="U60" s="5" t="n"/>
      <c r="V60" s="5" t="n"/>
      <c r="W60" s="6">
        <f>IF(OR(T60="",U60="",V60=""),"",T60*U60*V60)</f>
        <v/>
      </c>
      <c r="X60" s="6">
        <f>IF(W60="","",IF(OR(T60&gt;=9,W60&gt;=200),"Accept with Management Approval",IF(W60&gt;=100,"Action / Monitor","Accept")))</f>
        <v/>
      </c>
      <c r="Y60" s="4" t="n"/>
      <c r="Z60" s="4" t="n"/>
      <c r="AA60" s="4" t="n"/>
      <c r="AB60" s="4" t="n"/>
      <c r="AC60" s="4" t="n"/>
      <c r="AD60" s="4" t="n"/>
      <c r="AE60" s="4" t="n"/>
    </row>
    <row r="61">
      <c r="A61" s="4" t="n"/>
      <c r="B61" s="4" t="n"/>
      <c r="C61" s="4" t="n"/>
      <c r="D61" s="4" t="n"/>
      <c r="E61" s="5" t="n"/>
      <c r="F61" s="4" t="n"/>
      <c r="G61" s="4" t="n"/>
      <c r="H61" s="4" t="n"/>
      <c r="I61" s="5" t="n"/>
      <c r="J61" s="4" t="n"/>
      <c r="K61" s="5" t="n"/>
      <c r="L61" s="6">
        <f>IF(OR(E61="",I61="",K61=""),"",E61*I61*K61)</f>
        <v/>
      </c>
      <c r="M61" s="6">
        <f>IF(L61="","",IF(OR(E61&gt;=9,L61&gt;=200),"High",IF(L61&gt;=100,"Medium","Low")))</f>
        <v/>
      </c>
      <c r="N61" s="4" t="n"/>
      <c r="O61" s="4" t="n"/>
      <c r="P61" s="4" t="n"/>
      <c r="Q61" s="4" t="n"/>
      <c r="R61" s="4" t="n"/>
      <c r="S61" s="4" t="n"/>
      <c r="T61" s="5" t="n"/>
      <c r="U61" s="5" t="n"/>
      <c r="V61" s="5" t="n"/>
      <c r="W61" s="6">
        <f>IF(OR(T61="",U61="",V61=""),"",T61*U61*V61)</f>
        <v/>
      </c>
      <c r="X61" s="6">
        <f>IF(W61="","",IF(OR(T61&gt;=9,W61&gt;=200),"Accept with Management Approval",IF(W61&gt;=100,"Action / Monitor","Accept")))</f>
        <v/>
      </c>
      <c r="Y61" s="4" t="n"/>
      <c r="Z61" s="4" t="n"/>
      <c r="AA61" s="4" t="n"/>
      <c r="AB61" s="4" t="n"/>
      <c r="AC61" s="4" t="n"/>
      <c r="AD61" s="4" t="n"/>
      <c r="AE61" s="4" t="n"/>
    </row>
    <row r="62">
      <c r="A62" s="4" t="n"/>
      <c r="B62" s="4" t="n"/>
      <c r="C62" s="4" t="n"/>
      <c r="D62" s="4" t="n"/>
      <c r="E62" s="5" t="n"/>
      <c r="F62" s="4" t="n"/>
      <c r="G62" s="4" t="n"/>
      <c r="H62" s="4" t="n"/>
      <c r="I62" s="5" t="n"/>
      <c r="J62" s="4" t="n"/>
      <c r="K62" s="5" t="n"/>
      <c r="L62" s="6">
        <f>IF(OR(E62="",I62="",K62=""),"",E62*I62*K62)</f>
        <v/>
      </c>
      <c r="M62" s="6">
        <f>IF(L62="","",IF(OR(E62&gt;=9,L62&gt;=200),"High",IF(L62&gt;=100,"Medium","Low")))</f>
        <v/>
      </c>
      <c r="N62" s="4" t="n"/>
      <c r="O62" s="4" t="n"/>
      <c r="P62" s="4" t="n"/>
      <c r="Q62" s="4" t="n"/>
      <c r="R62" s="4" t="n"/>
      <c r="S62" s="4" t="n"/>
      <c r="T62" s="5" t="n"/>
      <c r="U62" s="5" t="n"/>
      <c r="V62" s="5" t="n"/>
      <c r="W62" s="6">
        <f>IF(OR(T62="",U62="",V62=""),"",T62*U62*V62)</f>
        <v/>
      </c>
      <c r="X62" s="6">
        <f>IF(W62="","",IF(OR(T62&gt;=9,W62&gt;=200),"Accept with Management Approval",IF(W62&gt;=100,"Action / Monitor","Accept")))</f>
        <v/>
      </c>
      <c r="Y62" s="4" t="n"/>
      <c r="Z62" s="4" t="n"/>
      <c r="AA62" s="4" t="n"/>
      <c r="AB62" s="4" t="n"/>
      <c r="AC62" s="4" t="n"/>
      <c r="AD62" s="4" t="n"/>
      <c r="AE62" s="4" t="n"/>
    </row>
    <row r="63">
      <c r="A63" s="4" t="n"/>
      <c r="B63" s="4" t="n"/>
      <c r="C63" s="4" t="n"/>
      <c r="D63" s="4" t="n"/>
      <c r="E63" s="5" t="n"/>
      <c r="F63" s="4" t="n"/>
      <c r="G63" s="4" t="n"/>
      <c r="H63" s="4" t="n"/>
      <c r="I63" s="5" t="n"/>
      <c r="J63" s="4" t="n"/>
      <c r="K63" s="5" t="n"/>
      <c r="L63" s="6">
        <f>IF(OR(E63="",I63="",K63=""),"",E63*I63*K63)</f>
        <v/>
      </c>
      <c r="M63" s="6">
        <f>IF(L63="","",IF(OR(E63&gt;=9,L63&gt;=200),"High",IF(L63&gt;=100,"Medium","Low")))</f>
        <v/>
      </c>
      <c r="N63" s="4" t="n"/>
      <c r="O63" s="4" t="n"/>
      <c r="P63" s="4" t="n"/>
      <c r="Q63" s="4" t="n"/>
      <c r="R63" s="4" t="n"/>
      <c r="S63" s="4" t="n"/>
      <c r="T63" s="5" t="n"/>
      <c r="U63" s="5" t="n"/>
      <c r="V63" s="5" t="n"/>
      <c r="W63" s="6">
        <f>IF(OR(T63="",U63="",V63=""),"",T63*U63*V63)</f>
        <v/>
      </c>
      <c r="X63" s="6">
        <f>IF(W63="","",IF(OR(T63&gt;=9,W63&gt;=200),"Accept with Management Approval",IF(W63&gt;=100,"Action / Monitor","Accept")))</f>
        <v/>
      </c>
      <c r="Y63" s="4" t="n"/>
      <c r="Z63" s="4" t="n"/>
      <c r="AA63" s="4" t="n"/>
      <c r="AB63" s="4" t="n"/>
      <c r="AC63" s="4" t="n"/>
      <c r="AD63" s="4" t="n"/>
      <c r="AE63" s="4" t="n"/>
    </row>
    <row r="64">
      <c r="A64" s="4" t="n"/>
      <c r="B64" s="4" t="n"/>
      <c r="C64" s="4" t="n"/>
      <c r="D64" s="4" t="n"/>
      <c r="E64" s="5" t="n"/>
      <c r="F64" s="4" t="n"/>
      <c r="G64" s="4" t="n"/>
      <c r="H64" s="4" t="n"/>
      <c r="I64" s="5" t="n"/>
      <c r="J64" s="4" t="n"/>
      <c r="K64" s="5" t="n"/>
      <c r="L64" s="6">
        <f>IF(OR(E64="",I64="",K64=""),"",E64*I64*K64)</f>
        <v/>
      </c>
      <c r="M64" s="6">
        <f>IF(L64="","",IF(OR(E64&gt;=9,L64&gt;=200),"High",IF(L64&gt;=100,"Medium","Low")))</f>
        <v/>
      </c>
      <c r="N64" s="4" t="n"/>
      <c r="O64" s="4" t="n"/>
      <c r="P64" s="4" t="n"/>
      <c r="Q64" s="4" t="n"/>
      <c r="R64" s="4" t="n"/>
      <c r="S64" s="4" t="n"/>
      <c r="T64" s="5" t="n"/>
      <c r="U64" s="5" t="n"/>
      <c r="V64" s="5" t="n"/>
      <c r="W64" s="6">
        <f>IF(OR(T64="",U64="",V64=""),"",T64*U64*V64)</f>
        <v/>
      </c>
      <c r="X64" s="6">
        <f>IF(W64="","",IF(OR(T64&gt;=9,W64&gt;=200),"Accept with Management Approval",IF(W64&gt;=100,"Action / Monitor","Accept")))</f>
        <v/>
      </c>
      <c r="Y64" s="4" t="n"/>
      <c r="Z64" s="4" t="n"/>
      <c r="AA64" s="4" t="n"/>
      <c r="AB64" s="4" t="n"/>
      <c r="AC64" s="4" t="n"/>
      <c r="AD64" s="4" t="n"/>
      <c r="AE64" s="4" t="n"/>
    </row>
    <row r="65">
      <c r="A65" s="4" t="n"/>
      <c r="B65" s="4" t="n"/>
      <c r="C65" s="4" t="n"/>
      <c r="D65" s="4" t="n"/>
      <c r="E65" s="5" t="n"/>
      <c r="F65" s="4" t="n"/>
      <c r="G65" s="4" t="n"/>
      <c r="H65" s="4" t="n"/>
      <c r="I65" s="5" t="n"/>
      <c r="J65" s="4" t="n"/>
      <c r="K65" s="5" t="n"/>
      <c r="L65" s="6">
        <f>IF(OR(E65="",I65="",K65=""),"",E65*I65*K65)</f>
        <v/>
      </c>
      <c r="M65" s="6">
        <f>IF(L65="","",IF(OR(E65&gt;=9,L65&gt;=200),"High",IF(L65&gt;=100,"Medium","Low")))</f>
        <v/>
      </c>
      <c r="N65" s="4" t="n"/>
      <c r="O65" s="4" t="n"/>
      <c r="P65" s="4" t="n"/>
      <c r="Q65" s="4" t="n"/>
      <c r="R65" s="4" t="n"/>
      <c r="S65" s="4" t="n"/>
      <c r="T65" s="5" t="n"/>
      <c r="U65" s="5" t="n"/>
      <c r="V65" s="5" t="n"/>
      <c r="W65" s="6">
        <f>IF(OR(T65="",U65="",V65=""),"",T65*U65*V65)</f>
        <v/>
      </c>
      <c r="X65" s="6">
        <f>IF(W65="","",IF(OR(T65&gt;=9,W65&gt;=200),"Accept with Management Approval",IF(W65&gt;=100,"Action / Monitor","Accept")))</f>
        <v/>
      </c>
      <c r="Y65" s="4" t="n"/>
      <c r="Z65" s="4" t="n"/>
      <c r="AA65" s="4" t="n"/>
      <c r="AB65" s="4" t="n"/>
      <c r="AC65" s="4" t="n"/>
      <c r="AD65" s="4" t="n"/>
      <c r="AE65" s="4" t="n"/>
    </row>
    <row r="66">
      <c r="A66" s="4" t="n"/>
      <c r="B66" s="4" t="n"/>
      <c r="C66" s="4" t="n"/>
      <c r="D66" s="4" t="n"/>
      <c r="E66" s="5" t="n"/>
      <c r="F66" s="4" t="n"/>
      <c r="G66" s="4" t="n"/>
      <c r="H66" s="4" t="n"/>
      <c r="I66" s="5" t="n"/>
      <c r="J66" s="4" t="n"/>
      <c r="K66" s="5" t="n"/>
      <c r="L66" s="6">
        <f>IF(OR(E66="",I66="",K66=""),"",E66*I66*K66)</f>
        <v/>
      </c>
      <c r="M66" s="6">
        <f>IF(L66="","",IF(OR(E66&gt;=9,L66&gt;=200),"High",IF(L66&gt;=100,"Medium","Low")))</f>
        <v/>
      </c>
      <c r="N66" s="4" t="n"/>
      <c r="O66" s="4" t="n"/>
      <c r="P66" s="4" t="n"/>
      <c r="Q66" s="4" t="n"/>
      <c r="R66" s="4" t="n"/>
      <c r="S66" s="4" t="n"/>
      <c r="T66" s="5" t="n"/>
      <c r="U66" s="5" t="n"/>
      <c r="V66" s="5" t="n"/>
      <c r="W66" s="6">
        <f>IF(OR(T66="",U66="",V66=""),"",T66*U66*V66)</f>
        <v/>
      </c>
      <c r="X66" s="6">
        <f>IF(W66="","",IF(OR(T66&gt;=9,W66&gt;=200),"Accept with Management Approval",IF(W66&gt;=100,"Action / Monitor","Accept")))</f>
        <v/>
      </c>
      <c r="Y66" s="4" t="n"/>
      <c r="Z66" s="4" t="n"/>
      <c r="AA66" s="4" t="n"/>
      <c r="AB66" s="4" t="n"/>
      <c r="AC66" s="4" t="n"/>
      <c r="AD66" s="4" t="n"/>
      <c r="AE66" s="4" t="n"/>
    </row>
    <row r="67">
      <c r="A67" s="4" t="n"/>
      <c r="B67" s="4" t="n"/>
      <c r="C67" s="4" t="n"/>
      <c r="D67" s="4" t="n"/>
      <c r="E67" s="5" t="n"/>
      <c r="F67" s="4" t="n"/>
      <c r="G67" s="4" t="n"/>
      <c r="H67" s="4" t="n"/>
      <c r="I67" s="5" t="n"/>
      <c r="J67" s="4" t="n"/>
      <c r="K67" s="5" t="n"/>
      <c r="L67" s="6">
        <f>IF(OR(E67="",I67="",K67=""),"",E67*I67*K67)</f>
        <v/>
      </c>
      <c r="M67" s="6">
        <f>IF(L67="","",IF(OR(E67&gt;=9,L67&gt;=200),"High",IF(L67&gt;=100,"Medium","Low")))</f>
        <v/>
      </c>
      <c r="N67" s="4" t="n"/>
      <c r="O67" s="4" t="n"/>
      <c r="P67" s="4" t="n"/>
      <c r="Q67" s="4" t="n"/>
      <c r="R67" s="4" t="n"/>
      <c r="S67" s="4" t="n"/>
      <c r="T67" s="5" t="n"/>
      <c r="U67" s="5" t="n"/>
      <c r="V67" s="5" t="n"/>
      <c r="W67" s="6">
        <f>IF(OR(T67="",U67="",V67=""),"",T67*U67*V67)</f>
        <v/>
      </c>
      <c r="X67" s="6">
        <f>IF(W67="","",IF(OR(T67&gt;=9,W67&gt;=200),"Accept with Management Approval",IF(W67&gt;=100,"Action / Monitor","Accept")))</f>
        <v/>
      </c>
      <c r="Y67" s="4" t="n"/>
      <c r="Z67" s="4" t="n"/>
      <c r="AA67" s="4" t="n"/>
      <c r="AB67" s="4" t="n"/>
      <c r="AC67" s="4" t="n"/>
      <c r="AD67" s="4" t="n"/>
      <c r="AE67" s="4" t="n"/>
    </row>
    <row r="68">
      <c r="A68" s="4" t="n"/>
      <c r="B68" s="4" t="n"/>
      <c r="C68" s="4" t="n"/>
      <c r="D68" s="4" t="n"/>
      <c r="E68" s="5" t="n"/>
      <c r="F68" s="4" t="n"/>
      <c r="G68" s="4" t="n"/>
      <c r="H68" s="4" t="n"/>
      <c r="I68" s="5" t="n"/>
      <c r="J68" s="4" t="n"/>
      <c r="K68" s="5" t="n"/>
      <c r="L68" s="6">
        <f>IF(OR(E68="",I68="",K68=""),"",E68*I68*K68)</f>
        <v/>
      </c>
      <c r="M68" s="6">
        <f>IF(L68="","",IF(OR(E68&gt;=9,L68&gt;=200),"High",IF(L68&gt;=100,"Medium","Low")))</f>
        <v/>
      </c>
      <c r="N68" s="4" t="n"/>
      <c r="O68" s="4" t="n"/>
      <c r="P68" s="4" t="n"/>
      <c r="Q68" s="4" t="n"/>
      <c r="R68" s="4" t="n"/>
      <c r="S68" s="4" t="n"/>
      <c r="T68" s="5" t="n"/>
      <c r="U68" s="5" t="n"/>
      <c r="V68" s="5" t="n"/>
      <c r="W68" s="6">
        <f>IF(OR(T68="",U68="",V68=""),"",T68*U68*V68)</f>
        <v/>
      </c>
      <c r="X68" s="6">
        <f>IF(W68="","",IF(OR(T68&gt;=9,W68&gt;=200),"Accept with Management Approval",IF(W68&gt;=100,"Action / Monitor","Accept")))</f>
        <v/>
      </c>
      <c r="Y68" s="4" t="n"/>
      <c r="Z68" s="4" t="n"/>
      <c r="AA68" s="4" t="n"/>
      <c r="AB68" s="4" t="n"/>
      <c r="AC68" s="4" t="n"/>
      <c r="AD68" s="4" t="n"/>
      <c r="AE68" s="4" t="n"/>
    </row>
    <row r="69">
      <c r="A69" s="4" t="n"/>
      <c r="B69" s="4" t="n"/>
      <c r="C69" s="4" t="n"/>
      <c r="D69" s="4" t="n"/>
      <c r="E69" s="5" t="n"/>
      <c r="F69" s="4" t="n"/>
      <c r="G69" s="4" t="n"/>
      <c r="H69" s="4" t="n"/>
      <c r="I69" s="5" t="n"/>
      <c r="J69" s="4" t="n"/>
      <c r="K69" s="5" t="n"/>
      <c r="L69" s="6">
        <f>IF(OR(E69="",I69="",K69=""),"",E69*I69*K69)</f>
        <v/>
      </c>
      <c r="M69" s="6">
        <f>IF(L69="","",IF(OR(E69&gt;=9,L69&gt;=200),"High",IF(L69&gt;=100,"Medium","Low")))</f>
        <v/>
      </c>
      <c r="N69" s="4" t="n"/>
      <c r="O69" s="4" t="n"/>
      <c r="P69" s="4" t="n"/>
      <c r="Q69" s="4" t="n"/>
      <c r="R69" s="4" t="n"/>
      <c r="S69" s="4" t="n"/>
      <c r="T69" s="5" t="n"/>
      <c r="U69" s="5" t="n"/>
      <c r="V69" s="5" t="n"/>
      <c r="W69" s="6">
        <f>IF(OR(T69="",U69="",V69=""),"",T69*U69*V69)</f>
        <v/>
      </c>
      <c r="X69" s="6">
        <f>IF(W69="","",IF(OR(T69&gt;=9,W69&gt;=200),"Accept with Management Approval",IF(W69&gt;=100,"Action / Monitor","Accept")))</f>
        <v/>
      </c>
      <c r="Y69" s="4" t="n"/>
      <c r="Z69" s="4" t="n"/>
      <c r="AA69" s="4" t="n"/>
      <c r="AB69" s="4" t="n"/>
      <c r="AC69" s="4" t="n"/>
      <c r="AD69" s="4" t="n"/>
      <c r="AE69" s="4" t="n"/>
    </row>
    <row r="70">
      <c r="A70" s="4" t="n"/>
      <c r="B70" s="4" t="n"/>
      <c r="C70" s="4" t="n"/>
      <c r="D70" s="4" t="n"/>
      <c r="E70" s="5" t="n"/>
      <c r="F70" s="4" t="n"/>
      <c r="G70" s="4" t="n"/>
      <c r="H70" s="4" t="n"/>
      <c r="I70" s="5" t="n"/>
      <c r="J70" s="4" t="n"/>
      <c r="K70" s="5" t="n"/>
      <c r="L70" s="6">
        <f>IF(OR(E70="",I70="",K70=""),"",E70*I70*K70)</f>
        <v/>
      </c>
      <c r="M70" s="6">
        <f>IF(L70="","",IF(OR(E70&gt;=9,L70&gt;=200),"High",IF(L70&gt;=100,"Medium","Low")))</f>
        <v/>
      </c>
      <c r="N70" s="4" t="n"/>
      <c r="O70" s="4" t="n"/>
      <c r="P70" s="4" t="n"/>
      <c r="Q70" s="4" t="n"/>
      <c r="R70" s="4" t="n"/>
      <c r="S70" s="4" t="n"/>
      <c r="T70" s="5" t="n"/>
      <c r="U70" s="5" t="n"/>
      <c r="V70" s="5" t="n"/>
      <c r="W70" s="6">
        <f>IF(OR(T70="",U70="",V70=""),"",T70*U70*V70)</f>
        <v/>
      </c>
      <c r="X70" s="6">
        <f>IF(W70="","",IF(OR(T70&gt;=9,W70&gt;=200),"Accept with Management Approval",IF(W70&gt;=100,"Action / Monitor","Accept")))</f>
        <v/>
      </c>
      <c r="Y70" s="4" t="n"/>
      <c r="Z70" s="4" t="n"/>
      <c r="AA70" s="4" t="n"/>
      <c r="AB70" s="4" t="n"/>
      <c r="AC70" s="4" t="n"/>
      <c r="AD70" s="4" t="n"/>
      <c r="AE70" s="4" t="n"/>
    </row>
    <row r="71">
      <c r="A71" s="4" t="n"/>
      <c r="B71" s="4" t="n"/>
      <c r="C71" s="4" t="n"/>
      <c r="D71" s="4" t="n"/>
      <c r="E71" s="5" t="n"/>
      <c r="F71" s="4" t="n"/>
      <c r="G71" s="4" t="n"/>
      <c r="H71" s="4" t="n"/>
      <c r="I71" s="5" t="n"/>
      <c r="J71" s="4" t="n"/>
      <c r="K71" s="5" t="n"/>
      <c r="L71" s="6">
        <f>IF(OR(E71="",I71="",K71=""),"",E71*I71*K71)</f>
        <v/>
      </c>
      <c r="M71" s="6">
        <f>IF(L71="","",IF(OR(E71&gt;=9,L71&gt;=200),"High",IF(L71&gt;=100,"Medium","Low")))</f>
        <v/>
      </c>
      <c r="N71" s="4" t="n"/>
      <c r="O71" s="4" t="n"/>
      <c r="P71" s="4" t="n"/>
      <c r="Q71" s="4" t="n"/>
      <c r="R71" s="4" t="n"/>
      <c r="S71" s="4" t="n"/>
      <c r="T71" s="5" t="n"/>
      <c r="U71" s="5" t="n"/>
      <c r="V71" s="5" t="n"/>
      <c r="W71" s="6">
        <f>IF(OR(T71="",U71="",V71=""),"",T71*U71*V71)</f>
        <v/>
      </c>
      <c r="X71" s="6">
        <f>IF(W71="","",IF(OR(T71&gt;=9,W71&gt;=200),"Accept with Management Approval",IF(W71&gt;=100,"Action / Monitor","Accept")))</f>
        <v/>
      </c>
      <c r="Y71" s="4" t="n"/>
      <c r="Z71" s="4" t="n"/>
      <c r="AA71" s="4" t="n"/>
      <c r="AB71" s="4" t="n"/>
      <c r="AC71" s="4" t="n"/>
      <c r="AD71" s="4" t="n"/>
      <c r="AE71" s="4" t="n"/>
    </row>
    <row r="72">
      <c r="A72" s="4" t="n"/>
      <c r="B72" s="4" t="n"/>
      <c r="C72" s="4" t="n"/>
      <c r="D72" s="4" t="n"/>
      <c r="E72" s="5" t="n"/>
      <c r="F72" s="4" t="n"/>
      <c r="G72" s="4" t="n"/>
      <c r="H72" s="4" t="n"/>
      <c r="I72" s="5" t="n"/>
      <c r="J72" s="4" t="n"/>
      <c r="K72" s="5" t="n"/>
      <c r="L72" s="6">
        <f>IF(OR(E72="",I72="",K72=""),"",E72*I72*K72)</f>
        <v/>
      </c>
      <c r="M72" s="6">
        <f>IF(L72="","",IF(OR(E72&gt;=9,L72&gt;=200),"High",IF(L72&gt;=100,"Medium","Low")))</f>
        <v/>
      </c>
      <c r="N72" s="4" t="n"/>
      <c r="O72" s="4" t="n"/>
      <c r="P72" s="4" t="n"/>
      <c r="Q72" s="4" t="n"/>
      <c r="R72" s="4" t="n"/>
      <c r="S72" s="4" t="n"/>
      <c r="T72" s="5" t="n"/>
      <c r="U72" s="5" t="n"/>
      <c r="V72" s="5" t="n"/>
      <c r="W72" s="6">
        <f>IF(OR(T72="",U72="",V72=""),"",T72*U72*V72)</f>
        <v/>
      </c>
      <c r="X72" s="6">
        <f>IF(W72="","",IF(OR(T72&gt;=9,W72&gt;=200),"Accept with Management Approval",IF(W72&gt;=100,"Action / Monitor","Accept")))</f>
        <v/>
      </c>
      <c r="Y72" s="4" t="n"/>
      <c r="Z72" s="4" t="n"/>
      <c r="AA72" s="4" t="n"/>
      <c r="AB72" s="4" t="n"/>
      <c r="AC72" s="4" t="n"/>
      <c r="AD72" s="4" t="n"/>
      <c r="AE72" s="4" t="n"/>
    </row>
    <row r="73">
      <c r="A73" s="4" t="n"/>
      <c r="B73" s="4" t="n"/>
      <c r="C73" s="4" t="n"/>
      <c r="D73" s="4" t="n"/>
      <c r="E73" s="5" t="n"/>
      <c r="F73" s="4" t="n"/>
      <c r="G73" s="4" t="n"/>
      <c r="H73" s="4" t="n"/>
      <c r="I73" s="5" t="n"/>
      <c r="J73" s="4" t="n"/>
      <c r="K73" s="5" t="n"/>
      <c r="L73" s="6">
        <f>IF(OR(E73="",I73="",K73=""),"",E73*I73*K73)</f>
        <v/>
      </c>
      <c r="M73" s="6">
        <f>IF(L73="","",IF(OR(E73&gt;=9,L73&gt;=200),"High",IF(L73&gt;=100,"Medium","Low")))</f>
        <v/>
      </c>
      <c r="N73" s="4" t="n"/>
      <c r="O73" s="4" t="n"/>
      <c r="P73" s="4" t="n"/>
      <c r="Q73" s="4" t="n"/>
      <c r="R73" s="4" t="n"/>
      <c r="S73" s="4" t="n"/>
      <c r="T73" s="5" t="n"/>
      <c r="U73" s="5" t="n"/>
      <c r="V73" s="5" t="n"/>
      <c r="W73" s="6">
        <f>IF(OR(T73="",U73="",V73=""),"",T73*U73*V73)</f>
        <v/>
      </c>
      <c r="X73" s="6">
        <f>IF(W73="","",IF(OR(T73&gt;=9,W73&gt;=200),"Accept with Management Approval",IF(W73&gt;=100,"Action / Monitor","Accept")))</f>
        <v/>
      </c>
      <c r="Y73" s="4" t="n"/>
      <c r="Z73" s="4" t="n"/>
      <c r="AA73" s="4" t="n"/>
      <c r="AB73" s="4" t="n"/>
      <c r="AC73" s="4" t="n"/>
      <c r="AD73" s="4" t="n"/>
      <c r="AE73" s="4" t="n"/>
    </row>
    <row r="74">
      <c r="A74" s="4" t="n"/>
      <c r="B74" s="4" t="n"/>
      <c r="C74" s="4" t="n"/>
      <c r="D74" s="4" t="n"/>
      <c r="E74" s="5" t="n"/>
      <c r="F74" s="4" t="n"/>
      <c r="G74" s="4" t="n"/>
      <c r="H74" s="4" t="n"/>
      <c r="I74" s="5" t="n"/>
      <c r="J74" s="4" t="n"/>
      <c r="K74" s="5" t="n"/>
      <c r="L74" s="6">
        <f>IF(OR(E74="",I74="",K74=""),"",E74*I74*K74)</f>
        <v/>
      </c>
      <c r="M74" s="6">
        <f>IF(L74="","",IF(OR(E74&gt;=9,L74&gt;=200),"High",IF(L74&gt;=100,"Medium","Low")))</f>
        <v/>
      </c>
      <c r="N74" s="4" t="n"/>
      <c r="O74" s="4" t="n"/>
      <c r="P74" s="4" t="n"/>
      <c r="Q74" s="4" t="n"/>
      <c r="R74" s="4" t="n"/>
      <c r="S74" s="4" t="n"/>
      <c r="T74" s="5" t="n"/>
      <c r="U74" s="5" t="n"/>
      <c r="V74" s="5" t="n"/>
      <c r="W74" s="6">
        <f>IF(OR(T74="",U74="",V74=""),"",T74*U74*V74)</f>
        <v/>
      </c>
      <c r="X74" s="6">
        <f>IF(W74="","",IF(OR(T74&gt;=9,W74&gt;=200),"Accept with Management Approval",IF(W74&gt;=100,"Action / Monitor","Accept")))</f>
        <v/>
      </c>
      <c r="Y74" s="4" t="n"/>
      <c r="Z74" s="4" t="n"/>
      <c r="AA74" s="4" t="n"/>
      <c r="AB74" s="4" t="n"/>
      <c r="AC74" s="4" t="n"/>
      <c r="AD74" s="4" t="n"/>
      <c r="AE74" s="4" t="n"/>
    </row>
    <row r="75">
      <c r="A75" s="4" t="n"/>
      <c r="B75" s="4" t="n"/>
      <c r="C75" s="4" t="n"/>
      <c r="D75" s="4" t="n"/>
      <c r="E75" s="5" t="n"/>
      <c r="F75" s="4" t="n"/>
      <c r="G75" s="4" t="n"/>
      <c r="H75" s="4" t="n"/>
      <c r="I75" s="5" t="n"/>
      <c r="J75" s="4" t="n"/>
      <c r="K75" s="5" t="n"/>
      <c r="L75" s="6">
        <f>IF(OR(E75="",I75="",K75=""),"",E75*I75*K75)</f>
        <v/>
      </c>
      <c r="M75" s="6">
        <f>IF(L75="","",IF(OR(E75&gt;=9,L75&gt;=200),"High",IF(L75&gt;=100,"Medium","Low")))</f>
        <v/>
      </c>
      <c r="N75" s="4" t="n"/>
      <c r="O75" s="4" t="n"/>
      <c r="P75" s="4" t="n"/>
      <c r="Q75" s="4" t="n"/>
      <c r="R75" s="4" t="n"/>
      <c r="S75" s="4" t="n"/>
      <c r="T75" s="5" t="n"/>
      <c r="U75" s="5" t="n"/>
      <c r="V75" s="5" t="n"/>
      <c r="W75" s="6">
        <f>IF(OR(T75="",U75="",V75=""),"",T75*U75*V75)</f>
        <v/>
      </c>
      <c r="X75" s="6">
        <f>IF(W75="","",IF(OR(T75&gt;=9,W75&gt;=200),"Accept with Management Approval",IF(W75&gt;=100,"Action / Monitor","Accept")))</f>
        <v/>
      </c>
      <c r="Y75" s="4" t="n"/>
      <c r="Z75" s="4" t="n"/>
      <c r="AA75" s="4" t="n"/>
      <c r="AB75" s="4" t="n"/>
      <c r="AC75" s="4" t="n"/>
      <c r="AD75" s="4" t="n"/>
      <c r="AE75" s="4" t="n"/>
    </row>
    <row r="76">
      <c r="A76" s="4" t="n"/>
      <c r="B76" s="4" t="n"/>
      <c r="C76" s="4" t="n"/>
      <c r="D76" s="4" t="n"/>
      <c r="E76" s="5" t="n"/>
      <c r="F76" s="4" t="n"/>
      <c r="G76" s="4" t="n"/>
      <c r="H76" s="4" t="n"/>
      <c r="I76" s="5" t="n"/>
      <c r="J76" s="4" t="n"/>
      <c r="K76" s="5" t="n"/>
      <c r="L76" s="6">
        <f>IF(OR(E76="",I76="",K76=""),"",E76*I76*K76)</f>
        <v/>
      </c>
      <c r="M76" s="6">
        <f>IF(L76="","",IF(OR(E76&gt;=9,L76&gt;=200),"High",IF(L76&gt;=100,"Medium","Low")))</f>
        <v/>
      </c>
      <c r="N76" s="4" t="n"/>
      <c r="O76" s="4" t="n"/>
      <c r="P76" s="4" t="n"/>
      <c r="Q76" s="4" t="n"/>
      <c r="R76" s="4" t="n"/>
      <c r="S76" s="4" t="n"/>
      <c r="T76" s="5" t="n"/>
      <c r="U76" s="5" t="n"/>
      <c r="V76" s="5" t="n"/>
      <c r="W76" s="6">
        <f>IF(OR(T76="",U76="",V76=""),"",T76*U76*V76)</f>
        <v/>
      </c>
      <c r="X76" s="6">
        <f>IF(W76="","",IF(OR(T76&gt;=9,W76&gt;=200),"Accept with Management Approval",IF(W76&gt;=100,"Action / Monitor","Accept")))</f>
        <v/>
      </c>
      <c r="Y76" s="4" t="n"/>
      <c r="Z76" s="4" t="n"/>
      <c r="AA76" s="4" t="n"/>
      <c r="AB76" s="4" t="n"/>
      <c r="AC76" s="4" t="n"/>
      <c r="AD76" s="4" t="n"/>
      <c r="AE76" s="4" t="n"/>
    </row>
    <row r="77">
      <c r="A77" s="4" t="n"/>
      <c r="B77" s="4" t="n"/>
      <c r="C77" s="4" t="n"/>
      <c r="D77" s="4" t="n"/>
      <c r="E77" s="5" t="n"/>
      <c r="F77" s="4" t="n"/>
      <c r="G77" s="4" t="n"/>
      <c r="H77" s="4" t="n"/>
      <c r="I77" s="5" t="n"/>
      <c r="J77" s="4" t="n"/>
      <c r="K77" s="5" t="n"/>
      <c r="L77" s="6">
        <f>IF(OR(E77="",I77="",K77=""),"",E77*I77*K77)</f>
        <v/>
      </c>
      <c r="M77" s="6">
        <f>IF(L77="","",IF(OR(E77&gt;=9,L77&gt;=200),"High",IF(L77&gt;=100,"Medium","Low")))</f>
        <v/>
      </c>
      <c r="N77" s="4" t="n"/>
      <c r="O77" s="4" t="n"/>
      <c r="P77" s="4" t="n"/>
      <c r="Q77" s="4" t="n"/>
      <c r="R77" s="4" t="n"/>
      <c r="S77" s="4" t="n"/>
      <c r="T77" s="5" t="n"/>
      <c r="U77" s="5" t="n"/>
      <c r="V77" s="5" t="n"/>
      <c r="W77" s="6">
        <f>IF(OR(T77="",U77="",V77=""),"",T77*U77*V77)</f>
        <v/>
      </c>
      <c r="X77" s="6">
        <f>IF(W77="","",IF(OR(T77&gt;=9,W77&gt;=200),"Accept with Management Approval",IF(W77&gt;=100,"Action / Monitor","Accept")))</f>
        <v/>
      </c>
      <c r="Y77" s="4" t="n"/>
      <c r="Z77" s="4" t="n"/>
      <c r="AA77" s="4" t="n"/>
      <c r="AB77" s="4" t="n"/>
      <c r="AC77" s="4" t="n"/>
      <c r="AD77" s="4" t="n"/>
      <c r="AE77" s="4" t="n"/>
    </row>
    <row r="78">
      <c r="A78" s="4" t="n"/>
      <c r="B78" s="4" t="n"/>
      <c r="C78" s="4" t="n"/>
      <c r="D78" s="4" t="n"/>
      <c r="E78" s="5" t="n"/>
      <c r="F78" s="4" t="n"/>
      <c r="G78" s="4" t="n"/>
      <c r="H78" s="4" t="n"/>
      <c r="I78" s="5" t="n"/>
      <c r="J78" s="4" t="n"/>
      <c r="K78" s="5" t="n"/>
      <c r="L78" s="6">
        <f>IF(OR(E78="",I78="",K78=""),"",E78*I78*K78)</f>
        <v/>
      </c>
      <c r="M78" s="6">
        <f>IF(L78="","",IF(OR(E78&gt;=9,L78&gt;=200),"High",IF(L78&gt;=100,"Medium","Low")))</f>
        <v/>
      </c>
      <c r="N78" s="4" t="n"/>
      <c r="O78" s="4" t="n"/>
      <c r="P78" s="4" t="n"/>
      <c r="Q78" s="4" t="n"/>
      <c r="R78" s="4" t="n"/>
      <c r="S78" s="4" t="n"/>
      <c r="T78" s="5" t="n"/>
      <c r="U78" s="5" t="n"/>
      <c r="V78" s="5" t="n"/>
      <c r="W78" s="6">
        <f>IF(OR(T78="",U78="",V78=""),"",T78*U78*V78)</f>
        <v/>
      </c>
      <c r="X78" s="6">
        <f>IF(W78="","",IF(OR(T78&gt;=9,W78&gt;=200),"Accept with Management Approval",IF(W78&gt;=100,"Action / Monitor","Accept")))</f>
        <v/>
      </c>
      <c r="Y78" s="4" t="n"/>
      <c r="Z78" s="4" t="n"/>
      <c r="AA78" s="4" t="n"/>
      <c r="AB78" s="4" t="n"/>
      <c r="AC78" s="4" t="n"/>
      <c r="AD78" s="4" t="n"/>
      <c r="AE78" s="4" t="n"/>
    </row>
    <row r="79">
      <c r="A79" s="4" t="n"/>
      <c r="B79" s="4" t="n"/>
      <c r="C79" s="4" t="n"/>
      <c r="D79" s="4" t="n"/>
      <c r="E79" s="5" t="n"/>
      <c r="F79" s="4" t="n"/>
      <c r="G79" s="4" t="n"/>
      <c r="H79" s="4" t="n"/>
      <c r="I79" s="5" t="n"/>
      <c r="J79" s="4" t="n"/>
      <c r="K79" s="5" t="n"/>
      <c r="L79" s="6">
        <f>IF(OR(E79="",I79="",K79=""),"",E79*I79*K79)</f>
        <v/>
      </c>
      <c r="M79" s="6">
        <f>IF(L79="","",IF(OR(E79&gt;=9,L79&gt;=200),"High",IF(L79&gt;=100,"Medium","Low")))</f>
        <v/>
      </c>
      <c r="N79" s="4" t="n"/>
      <c r="O79" s="4" t="n"/>
      <c r="P79" s="4" t="n"/>
      <c r="Q79" s="4" t="n"/>
      <c r="R79" s="4" t="n"/>
      <c r="S79" s="4" t="n"/>
      <c r="T79" s="5" t="n"/>
      <c r="U79" s="5" t="n"/>
      <c r="V79" s="5" t="n"/>
      <c r="W79" s="6">
        <f>IF(OR(T79="",U79="",V79=""),"",T79*U79*V79)</f>
        <v/>
      </c>
      <c r="X79" s="6">
        <f>IF(W79="","",IF(OR(T79&gt;=9,W79&gt;=200),"Accept with Management Approval",IF(W79&gt;=100,"Action / Monitor","Accept")))</f>
        <v/>
      </c>
      <c r="Y79" s="4" t="n"/>
      <c r="Z79" s="4" t="n"/>
      <c r="AA79" s="4" t="n"/>
      <c r="AB79" s="4" t="n"/>
      <c r="AC79" s="4" t="n"/>
      <c r="AD79" s="4" t="n"/>
      <c r="AE79" s="4" t="n"/>
    </row>
    <row r="80">
      <c r="A80" s="4" t="n"/>
      <c r="B80" s="4" t="n"/>
      <c r="C80" s="4" t="n"/>
      <c r="D80" s="4" t="n"/>
      <c r="E80" s="5" t="n"/>
      <c r="F80" s="4" t="n"/>
      <c r="G80" s="4" t="n"/>
      <c r="H80" s="4" t="n"/>
      <c r="I80" s="5" t="n"/>
      <c r="J80" s="4" t="n"/>
      <c r="K80" s="5" t="n"/>
      <c r="L80" s="6">
        <f>IF(OR(E80="",I80="",K80=""),"",E80*I80*K80)</f>
        <v/>
      </c>
      <c r="M80" s="6">
        <f>IF(L80="","",IF(OR(E80&gt;=9,L80&gt;=200),"High",IF(L80&gt;=100,"Medium","Low")))</f>
        <v/>
      </c>
      <c r="N80" s="4" t="n"/>
      <c r="O80" s="4" t="n"/>
      <c r="P80" s="4" t="n"/>
      <c r="Q80" s="4" t="n"/>
      <c r="R80" s="4" t="n"/>
      <c r="S80" s="4" t="n"/>
      <c r="T80" s="5" t="n"/>
      <c r="U80" s="5" t="n"/>
      <c r="V80" s="5" t="n"/>
      <c r="W80" s="6">
        <f>IF(OR(T80="",U80="",V80=""),"",T80*U80*V80)</f>
        <v/>
      </c>
      <c r="X80" s="6">
        <f>IF(W80="","",IF(OR(T80&gt;=9,W80&gt;=200),"Accept with Management Approval",IF(W80&gt;=100,"Action / Monitor","Accept")))</f>
        <v/>
      </c>
      <c r="Y80" s="4" t="n"/>
      <c r="Z80" s="4" t="n"/>
      <c r="AA80" s="4" t="n"/>
      <c r="AB80" s="4" t="n"/>
      <c r="AC80" s="4" t="n"/>
      <c r="AD80" s="4" t="n"/>
      <c r="AE80" s="4" t="n"/>
    </row>
    <row r="81">
      <c r="A81" s="4" t="n"/>
      <c r="B81" s="4" t="n"/>
      <c r="C81" s="4" t="n"/>
      <c r="D81" s="4" t="n"/>
      <c r="E81" s="5" t="n"/>
      <c r="F81" s="4" t="n"/>
      <c r="G81" s="4" t="n"/>
      <c r="H81" s="4" t="n"/>
      <c r="I81" s="5" t="n"/>
      <c r="J81" s="4" t="n"/>
      <c r="K81" s="5" t="n"/>
      <c r="L81" s="6">
        <f>IF(OR(E81="",I81="",K81=""),"",E81*I81*K81)</f>
        <v/>
      </c>
      <c r="M81" s="6">
        <f>IF(L81="","",IF(OR(E81&gt;=9,L81&gt;=200),"High",IF(L81&gt;=100,"Medium","Low")))</f>
        <v/>
      </c>
      <c r="N81" s="4" t="n"/>
      <c r="O81" s="4" t="n"/>
      <c r="P81" s="4" t="n"/>
      <c r="Q81" s="4" t="n"/>
      <c r="R81" s="4" t="n"/>
      <c r="S81" s="4" t="n"/>
      <c r="T81" s="5" t="n"/>
      <c r="U81" s="5" t="n"/>
      <c r="V81" s="5" t="n"/>
      <c r="W81" s="6">
        <f>IF(OR(T81="",U81="",V81=""),"",T81*U81*V81)</f>
        <v/>
      </c>
      <c r="X81" s="6">
        <f>IF(W81="","",IF(OR(T81&gt;=9,W81&gt;=200),"Accept with Management Approval",IF(W81&gt;=100,"Action / Monitor","Accept")))</f>
        <v/>
      </c>
      <c r="Y81" s="4" t="n"/>
      <c r="Z81" s="4" t="n"/>
      <c r="AA81" s="4" t="n"/>
      <c r="AB81" s="4" t="n"/>
      <c r="AC81" s="4" t="n"/>
      <c r="AD81" s="4" t="n"/>
      <c r="AE81" s="4" t="n"/>
    </row>
    <row r="82">
      <c r="A82" s="4" t="n"/>
      <c r="B82" s="4" t="n"/>
      <c r="C82" s="4" t="n"/>
      <c r="D82" s="4" t="n"/>
      <c r="E82" s="5" t="n"/>
      <c r="F82" s="4" t="n"/>
      <c r="G82" s="4" t="n"/>
      <c r="H82" s="4" t="n"/>
      <c r="I82" s="5" t="n"/>
      <c r="J82" s="4" t="n"/>
      <c r="K82" s="5" t="n"/>
      <c r="L82" s="6">
        <f>IF(OR(E82="",I82="",K82=""),"",E82*I82*K82)</f>
        <v/>
      </c>
      <c r="M82" s="6">
        <f>IF(L82="","",IF(OR(E82&gt;=9,L82&gt;=200),"High",IF(L82&gt;=100,"Medium","Low")))</f>
        <v/>
      </c>
      <c r="N82" s="4" t="n"/>
      <c r="O82" s="4" t="n"/>
      <c r="P82" s="4" t="n"/>
      <c r="Q82" s="4" t="n"/>
      <c r="R82" s="4" t="n"/>
      <c r="S82" s="4" t="n"/>
      <c r="T82" s="5" t="n"/>
      <c r="U82" s="5" t="n"/>
      <c r="V82" s="5" t="n"/>
      <c r="W82" s="6">
        <f>IF(OR(T82="",U82="",V82=""),"",T82*U82*V82)</f>
        <v/>
      </c>
      <c r="X82" s="6">
        <f>IF(W82="","",IF(OR(T82&gt;=9,W82&gt;=200),"Accept with Management Approval",IF(W82&gt;=100,"Action / Monitor","Accept")))</f>
        <v/>
      </c>
      <c r="Y82" s="4" t="n"/>
      <c r="Z82" s="4" t="n"/>
      <c r="AA82" s="4" t="n"/>
      <c r="AB82" s="4" t="n"/>
      <c r="AC82" s="4" t="n"/>
      <c r="AD82" s="4" t="n"/>
      <c r="AE82" s="4" t="n"/>
    </row>
    <row r="83">
      <c r="A83" s="4" t="n"/>
      <c r="B83" s="4" t="n"/>
      <c r="C83" s="4" t="n"/>
      <c r="D83" s="4" t="n"/>
      <c r="E83" s="5" t="n"/>
      <c r="F83" s="4" t="n"/>
      <c r="G83" s="4" t="n"/>
      <c r="H83" s="4" t="n"/>
      <c r="I83" s="5" t="n"/>
      <c r="J83" s="4" t="n"/>
      <c r="K83" s="5" t="n"/>
      <c r="L83" s="6">
        <f>IF(OR(E83="",I83="",K83=""),"",E83*I83*K83)</f>
        <v/>
      </c>
      <c r="M83" s="6">
        <f>IF(L83="","",IF(OR(E83&gt;=9,L83&gt;=200),"High",IF(L83&gt;=100,"Medium","Low")))</f>
        <v/>
      </c>
      <c r="N83" s="4" t="n"/>
      <c r="O83" s="4" t="n"/>
      <c r="P83" s="4" t="n"/>
      <c r="Q83" s="4" t="n"/>
      <c r="R83" s="4" t="n"/>
      <c r="S83" s="4" t="n"/>
      <c r="T83" s="5" t="n"/>
      <c r="U83" s="5" t="n"/>
      <c r="V83" s="5" t="n"/>
      <c r="W83" s="6">
        <f>IF(OR(T83="",U83="",V83=""),"",T83*U83*V83)</f>
        <v/>
      </c>
      <c r="X83" s="6">
        <f>IF(W83="","",IF(OR(T83&gt;=9,W83&gt;=200),"Accept with Management Approval",IF(W83&gt;=100,"Action / Monitor","Accept")))</f>
        <v/>
      </c>
      <c r="Y83" s="4" t="n"/>
      <c r="Z83" s="4" t="n"/>
      <c r="AA83" s="4" t="n"/>
      <c r="AB83" s="4" t="n"/>
      <c r="AC83" s="4" t="n"/>
      <c r="AD83" s="4" t="n"/>
      <c r="AE83" s="4" t="n"/>
    </row>
    <row r="84">
      <c r="A84" s="4" t="n"/>
      <c r="B84" s="4" t="n"/>
      <c r="C84" s="4" t="n"/>
      <c r="D84" s="4" t="n"/>
      <c r="E84" s="5" t="n"/>
      <c r="F84" s="4" t="n"/>
      <c r="G84" s="4" t="n"/>
      <c r="H84" s="4" t="n"/>
      <c r="I84" s="5" t="n"/>
      <c r="J84" s="4" t="n"/>
      <c r="K84" s="5" t="n"/>
      <c r="L84" s="6">
        <f>IF(OR(E84="",I84="",K84=""),"",E84*I84*K84)</f>
        <v/>
      </c>
      <c r="M84" s="6">
        <f>IF(L84="","",IF(OR(E84&gt;=9,L84&gt;=200),"High",IF(L84&gt;=100,"Medium","Low")))</f>
        <v/>
      </c>
      <c r="N84" s="4" t="n"/>
      <c r="O84" s="4" t="n"/>
      <c r="P84" s="4" t="n"/>
      <c r="Q84" s="4" t="n"/>
      <c r="R84" s="4" t="n"/>
      <c r="S84" s="4" t="n"/>
      <c r="T84" s="5" t="n"/>
      <c r="U84" s="5" t="n"/>
      <c r="V84" s="5" t="n"/>
      <c r="W84" s="6">
        <f>IF(OR(T84="",U84="",V84=""),"",T84*U84*V84)</f>
        <v/>
      </c>
      <c r="X84" s="6">
        <f>IF(W84="","",IF(OR(T84&gt;=9,W84&gt;=200),"Accept with Management Approval",IF(W84&gt;=100,"Action / Monitor","Accept")))</f>
        <v/>
      </c>
      <c r="Y84" s="4" t="n"/>
      <c r="Z84" s="4" t="n"/>
      <c r="AA84" s="4" t="n"/>
      <c r="AB84" s="4" t="n"/>
      <c r="AC84" s="4" t="n"/>
      <c r="AD84" s="4" t="n"/>
      <c r="AE84" s="4" t="n"/>
    </row>
    <row r="85">
      <c r="A85" s="4" t="n"/>
      <c r="B85" s="4" t="n"/>
      <c r="C85" s="4" t="n"/>
      <c r="D85" s="4" t="n"/>
      <c r="E85" s="5" t="n"/>
      <c r="F85" s="4" t="n"/>
      <c r="G85" s="4" t="n"/>
      <c r="H85" s="4" t="n"/>
      <c r="I85" s="5" t="n"/>
      <c r="J85" s="4" t="n"/>
      <c r="K85" s="5" t="n"/>
      <c r="L85" s="6">
        <f>IF(OR(E85="",I85="",K85=""),"",E85*I85*K85)</f>
        <v/>
      </c>
      <c r="M85" s="6">
        <f>IF(L85="","",IF(OR(E85&gt;=9,L85&gt;=200),"High",IF(L85&gt;=100,"Medium","Low")))</f>
        <v/>
      </c>
      <c r="N85" s="4" t="n"/>
      <c r="O85" s="4" t="n"/>
      <c r="P85" s="4" t="n"/>
      <c r="Q85" s="4" t="n"/>
      <c r="R85" s="4" t="n"/>
      <c r="S85" s="4" t="n"/>
      <c r="T85" s="5" t="n"/>
      <c r="U85" s="5" t="n"/>
      <c r="V85" s="5" t="n"/>
      <c r="W85" s="6">
        <f>IF(OR(T85="",U85="",V85=""),"",T85*U85*V85)</f>
        <v/>
      </c>
      <c r="X85" s="6">
        <f>IF(W85="","",IF(OR(T85&gt;=9,W85&gt;=200),"Accept with Management Approval",IF(W85&gt;=100,"Action / Monitor","Accept")))</f>
        <v/>
      </c>
      <c r="Y85" s="4" t="n"/>
      <c r="Z85" s="4" t="n"/>
      <c r="AA85" s="4" t="n"/>
      <c r="AB85" s="4" t="n"/>
      <c r="AC85" s="4" t="n"/>
      <c r="AD85" s="4" t="n"/>
      <c r="AE85" s="4" t="n"/>
    </row>
    <row r="86">
      <c r="A86" s="4" t="n"/>
      <c r="B86" s="4" t="n"/>
      <c r="C86" s="4" t="n"/>
      <c r="D86" s="4" t="n"/>
      <c r="E86" s="5" t="n"/>
      <c r="F86" s="4" t="n"/>
      <c r="G86" s="4" t="n"/>
      <c r="H86" s="4" t="n"/>
      <c r="I86" s="5" t="n"/>
      <c r="J86" s="4" t="n"/>
      <c r="K86" s="5" t="n"/>
      <c r="L86" s="6">
        <f>IF(OR(E86="",I86="",K86=""),"",E86*I86*K86)</f>
        <v/>
      </c>
      <c r="M86" s="6">
        <f>IF(L86="","",IF(OR(E86&gt;=9,L86&gt;=200),"High",IF(L86&gt;=100,"Medium","Low")))</f>
        <v/>
      </c>
      <c r="N86" s="4" t="n"/>
      <c r="O86" s="4" t="n"/>
      <c r="P86" s="4" t="n"/>
      <c r="Q86" s="4" t="n"/>
      <c r="R86" s="4" t="n"/>
      <c r="S86" s="4" t="n"/>
      <c r="T86" s="5" t="n"/>
      <c r="U86" s="5" t="n"/>
      <c r="V86" s="5" t="n"/>
      <c r="W86" s="6">
        <f>IF(OR(T86="",U86="",V86=""),"",T86*U86*V86)</f>
        <v/>
      </c>
      <c r="X86" s="6">
        <f>IF(W86="","",IF(OR(T86&gt;=9,W86&gt;=200),"Accept with Management Approval",IF(W86&gt;=100,"Action / Monitor","Accept")))</f>
        <v/>
      </c>
      <c r="Y86" s="4" t="n"/>
      <c r="Z86" s="4" t="n"/>
      <c r="AA86" s="4" t="n"/>
      <c r="AB86" s="4" t="n"/>
      <c r="AC86" s="4" t="n"/>
      <c r="AD86" s="4" t="n"/>
      <c r="AE86" s="4" t="n"/>
    </row>
    <row r="87">
      <c r="A87" s="4" t="n"/>
      <c r="B87" s="4" t="n"/>
      <c r="C87" s="4" t="n"/>
      <c r="D87" s="4" t="n"/>
      <c r="E87" s="5" t="n"/>
      <c r="F87" s="4" t="n"/>
      <c r="G87" s="4" t="n"/>
      <c r="H87" s="4" t="n"/>
      <c r="I87" s="5" t="n"/>
      <c r="J87" s="4" t="n"/>
      <c r="K87" s="5" t="n"/>
      <c r="L87" s="6">
        <f>IF(OR(E87="",I87="",K87=""),"",E87*I87*K87)</f>
        <v/>
      </c>
      <c r="M87" s="6">
        <f>IF(L87="","",IF(OR(E87&gt;=9,L87&gt;=200),"High",IF(L87&gt;=100,"Medium","Low")))</f>
        <v/>
      </c>
      <c r="N87" s="4" t="n"/>
      <c r="O87" s="4" t="n"/>
      <c r="P87" s="4" t="n"/>
      <c r="Q87" s="4" t="n"/>
      <c r="R87" s="4" t="n"/>
      <c r="S87" s="4" t="n"/>
      <c r="T87" s="5" t="n"/>
      <c r="U87" s="5" t="n"/>
      <c r="V87" s="5" t="n"/>
      <c r="W87" s="6">
        <f>IF(OR(T87="",U87="",V87=""),"",T87*U87*V87)</f>
        <v/>
      </c>
      <c r="X87" s="6">
        <f>IF(W87="","",IF(OR(T87&gt;=9,W87&gt;=200),"Accept with Management Approval",IF(W87&gt;=100,"Action / Monitor","Accept")))</f>
        <v/>
      </c>
      <c r="Y87" s="4" t="n"/>
      <c r="Z87" s="4" t="n"/>
      <c r="AA87" s="4" t="n"/>
      <c r="AB87" s="4" t="n"/>
      <c r="AC87" s="4" t="n"/>
      <c r="AD87" s="4" t="n"/>
      <c r="AE87" s="4" t="n"/>
    </row>
    <row r="88">
      <c r="A88" s="4" t="n"/>
      <c r="B88" s="4" t="n"/>
      <c r="C88" s="4" t="n"/>
      <c r="D88" s="4" t="n"/>
      <c r="E88" s="5" t="n"/>
      <c r="F88" s="4" t="n"/>
      <c r="G88" s="4" t="n"/>
      <c r="H88" s="4" t="n"/>
      <c r="I88" s="5" t="n"/>
      <c r="J88" s="4" t="n"/>
      <c r="K88" s="5" t="n"/>
      <c r="L88" s="6">
        <f>IF(OR(E88="",I88="",K88=""),"",E88*I88*K88)</f>
        <v/>
      </c>
      <c r="M88" s="6">
        <f>IF(L88="","",IF(OR(E88&gt;=9,L88&gt;=200),"High",IF(L88&gt;=100,"Medium","Low")))</f>
        <v/>
      </c>
      <c r="N88" s="4" t="n"/>
      <c r="O88" s="4" t="n"/>
      <c r="P88" s="4" t="n"/>
      <c r="Q88" s="4" t="n"/>
      <c r="R88" s="4" t="n"/>
      <c r="S88" s="4" t="n"/>
      <c r="T88" s="5" t="n"/>
      <c r="U88" s="5" t="n"/>
      <c r="V88" s="5" t="n"/>
      <c r="W88" s="6">
        <f>IF(OR(T88="",U88="",V88=""),"",T88*U88*V88)</f>
        <v/>
      </c>
      <c r="X88" s="6">
        <f>IF(W88="","",IF(OR(T88&gt;=9,W88&gt;=200),"Accept with Management Approval",IF(W88&gt;=100,"Action / Monitor","Accept")))</f>
        <v/>
      </c>
      <c r="Y88" s="4" t="n"/>
      <c r="Z88" s="4" t="n"/>
      <c r="AA88" s="4" t="n"/>
      <c r="AB88" s="4" t="n"/>
      <c r="AC88" s="4" t="n"/>
      <c r="AD88" s="4" t="n"/>
      <c r="AE88" s="4" t="n"/>
    </row>
    <row r="89">
      <c r="A89" s="4" t="n"/>
      <c r="B89" s="4" t="n"/>
      <c r="C89" s="4" t="n"/>
      <c r="D89" s="4" t="n"/>
      <c r="E89" s="5" t="n"/>
      <c r="F89" s="4" t="n"/>
      <c r="G89" s="4" t="n"/>
      <c r="H89" s="4" t="n"/>
      <c r="I89" s="5" t="n"/>
      <c r="J89" s="4" t="n"/>
      <c r="K89" s="5" t="n"/>
      <c r="L89" s="6">
        <f>IF(OR(E89="",I89="",K89=""),"",E89*I89*K89)</f>
        <v/>
      </c>
      <c r="M89" s="6">
        <f>IF(L89="","",IF(OR(E89&gt;=9,L89&gt;=200),"High",IF(L89&gt;=100,"Medium","Low")))</f>
        <v/>
      </c>
      <c r="N89" s="4" t="n"/>
      <c r="O89" s="4" t="n"/>
      <c r="P89" s="4" t="n"/>
      <c r="Q89" s="4" t="n"/>
      <c r="R89" s="4" t="n"/>
      <c r="S89" s="4" t="n"/>
      <c r="T89" s="5" t="n"/>
      <c r="U89" s="5" t="n"/>
      <c r="V89" s="5" t="n"/>
      <c r="W89" s="6">
        <f>IF(OR(T89="",U89="",V89=""),"",T89*U89*V89)</f>
        <v/>
      </c>
      <c r="X89" s="6">
        <f>IF(W89="","",IF(OR(T89&gt;=9,W89&gt;=200),"Accept with Management Approval",IF(W89&gt;=100,"Action / Monitor","Accept")))</f>
        <v/>
      </c>
      <c r="Y89" s="4" t="n"/>
      <c r="Z89" s="4" t="n"/>
      <c r="AA89" s="4" t="n"/>
      <c r="AB89" s="4" t="n"/>
      <c r="AC89" s="4" t="n"/>
      <c r="AD89" s="4" t="n"/>
      <c r="AE89" s="4" t="n"/>
    </row>
    <row r="90">
      <c r="A90" s="4" t="n"/>
      <c r="B90" s="4" t="n"/>
      <c r="C90" s="4" t="n"/>
      <c r="D90" s="4" t="n"/>
      <c r="E90" s="5" t="n"/>
      <c r="F90" s="4" t="n"/>
      <c r="G90" s="4" t="n"/>
      <c r="H90" s="4" t="n"/>
      <c r="I90" s="5" t="n"/>
      <c r="J90" s="4" t="n"/>
      <c r="K90" s="5" t="n"/>
      <c r="L90" s="6">
        <f>IF(OR(E90="",I90="",K90=""),"",E90*I90*K90)</f>
        <v/>
      </c>
      <c r="M90" s="6">
        <f>IF(L90="","",IF(OR(E90&gt;=9,L90&gt;=200),"High",IF(L90&gt;=100,"Medium","Low")))</f>
        <v/>
      </c>
      <c r="N90" s="4" t="n"/>
      <c r="O90" s="4" t="n"/>
      <c r="P90" s="4" t="n"/>
      <c r="Q90" s="4" t="n"/>
      <c r="R90" s="4" t="n"/>
      <c r="S90" s="4" t="n"/>
      <c r="T90" s="5" t="n"/>
      <c r="U90" s="5" t="n"/>
      <c r="V90" s="5" t="n"/>
      <c r="W90" s="6">
        <f>IF(OR(T90="",U90="",V90=""),"",T90*U90*V90)</f>
        <v/>
      </c>
      <c r="X90" s="6">
        <f>IF(W90="","",IF(OR(T90&gt;=9,W90&gt;=200),"Accept with Management Approval",IF(W90&gt;=100,"Action / Monitor","Accept")))</f>
        <v/>
      </c>
      <c r="Y90" s="4" t="n"/>
      <c r="Z90" s="4" t="n"/>
      <c r="AA90" s="4" t="n"/>
      <c r="AB90" s="4" t="n"/>
      <c r="AC90" s="4" t="n"/>
      <c r="AD90" s="4" t="n"/>
      <c r="AE90" s="4" t="n"/>
    </row>
    <row r="91">
      <c r="A91" s="4" t="n"/>
      <c r="B91" s="4" t="n"/>
      <c r="C91" s="4" t="n"/>
      <c r="D91" s="4" t="n"/>
      <c r="E91" s="5" t="n"/>
      <c r="F91" s="4" t="n"/>
      <c r="G91" s="4" t="n"/>
      <c r="H91" s="4" t="n"/>
      <c r="I91" s="5" t="n"/>
      <c r="J91" s="4" t="n"/>
      <c r="K91" s="5" t="n"/>
      <c r="L91" s="6">
        <f>IF(OR(E91="",I91="",K91=""),"",E91*I91*K91)</f>
        <v/>
      </c>
      <c r="M91" s="6">
        <f>IF(L91="","",IF(OR(E91&gt;=9,L91&gt;=200),"High",IF(L91&gt;=100,"Medium","Low")))</f>
        <v/>
      </c>
      <c r="N91" s="4" t="n"/>
      <c r="O91" s="4" t="n"/>
      <c r="P91" s="4" t="n"/>
      <c r="Q91" s="4" t="n"/>
      <c r="R91" s="4" t="n"/>
      <c r="S91" s="4" t="n"/>
      <c r="T91" s="5" t="n"/>
      <c r="U91" s="5" t="n"/>
      <c r="V91" s="5" t="n"/>
      <c r="W91" s="6">
        <f>IF(OR(T91="",U91="",V91=""),"",T91*U91*V91)</f>
        <v/>
      </c>
      <c r="X91" s="6">
        <f>IF(W91="","",IF(OR(T91&gt;=9,W91&gt;=200),"Accept with Management Approval",IF(W91&gt;=100,"Action / Monitor","Accept")))</f>
        <v/>
      </c>
      <c r="Y91" s="4" t="n"/>
      <c r="Z91" s="4" t="n"/>
      <c r="AA91" s="4" t="n"/>
      <c r="AB91" s="4" t="n"/>
      <c r="AC91" s="4" t="n"/>
      <c r="AD91" s="4" t="n"/>
      <c r="AE91" s="4" t="n"/>
    </row>
    <row r="92">
      <c r="A92" s="4" t="n"/>
      <c r="B92" s="4" t="n"/>
      <c r="C92" s="4" t="n"/>
      <c r="D92" s="4" t="n"/>
      <c r="E92" s="5" t="n"/>
      <c r="F92" s="4" t="n"/>
      <c r="G92" s="4" t="n"/>
      <c r="H92" s="4" t="n"/>
      <c r="I92" s="5" t="n"/>
      <c r="J92" s="4" t="n"/>
      <c r="K92" s="5" t="n"/>
      <c r="L92" s="6">
        <f>IF(OR(E92="",I92="",K92=""),"",E92*I92*K92)</f>
        <v/>
      </c>
      <c r="M92" s="6">
        <f>IF(L92="","",IF(OR(E92&gt;=9,L92&gt;=200),"High",IF(L92&gt;=100,"Medium","Low")))</f>
        <v/>
      </c>
      <c r="N92" s="4" t="n"/>
      <c r="O92" s="4" t="n"/>
      <c r="P92" s="4" t="n"/>
      <c r="Q92" s="4" t="n"/>
      <c r="R92" s="4" t="n"/>
      <c r="S92" s="4" t="n"/>
      <c r="T92" s="5" t="n"/>
      <c r="U92" s="5" t="n"/>
      <c r="V92" s="5" t="n"/>
      <c r="W92" s="6">
        <f>IF(OR(T92="",U92="",V92=""),"",T92*U92*V92)</f>
        <v/>
      </c>
      <c r="X92" s="6">
        <f>IF(W92="","",IF(OR(T92&gt;=9,W92&gt;=200),"Accept with Management Approval",IF(W92&gt;=100,"Action / Monitor","Accept")))</f>
        <v/>
      </c>
      <c r="Y92" s="4" t="n"/>
      <c r="Z92" s="4" t="n"/>
      <c r="AA92" s="4" t="n"/>
      <c r="AB92" s="4" t="n"/>
      <c r="AC92" s="4" t="n"/>
      <c r="AD92" s="4" t="n"/>
      <c r="AE92" s="4" t="n"/>
    </row>
    <row r="93">
      <c r="A93" s="4" t="n"/>
      <c r="B93" s="4" t="n"/>
      <c r="C93" s="4" t="n"/>
      <c r="D93" s="4" t="n"/>
      <c r="E93" s="5" t="n"/>
      <c r="F93" s="4" t="n"/>
      <c r="G93" s="4" t="n"/>
      <c r="H93" s="4" t="n"/>
      <c r="I93" s="5" t="n"/>
      <c r="J93" s="4" t="n"/>
      <c r="K93" s="5" t="n"/>
      <c r="L93" s="6">
        <f>IF(OR(E93="",I93="",K93=""),"",E93*I93*K93)</f>
        <v/>
      </c>
      <c r="M93" s="6">
        <f>IF(L93="","",IF(OR(E93&gt;=9,L93&gt;=200),"High",IF(L93&gt;=100,"Medium","Low")))</f>
        <v/>
      </c>
      <c r="N93" s="4" t="n"/>
      <c r="O93" s="4" t="n"/>
      <c r="P93" s="4" t="n"/>
      <c r="Q93" s="4" t="n"/>
      <c r="R93" s="4" t="n"/>
      <c r="S93" s="4" t="n"/>
      <c r="T93" s="5" t="n"/>
      <c r="U93" s="5" t="n"/>
      <c r="V93" s="5" t="n"/>
      <c r="W93" s="6">
        <f>IF(OR(T93="",U93="",V93=""),"",T93*U93*V93)</f>
        <v/>
      </c>
      <c r="X93" s="6">
        <f>IF(W93="","",IF(OR(T93&gt;=9,W93&gt;=200),"Accept with Management Approval",IF(W93&gt;=100,"Action / Monitor","Accept")))</f>
        <v/>
      </c>
      <c r="Y93" s="4" t="n"/>
      <c r="Z93" s="4" t="n"/>
      <c r="AA93" s="4" t="n"/>
      <c r="AB93" s="4" t="n"/>
      <c r="AC93" s="4" t="n"/>
      <c r="AD93" s="4" t="n"/>
      <c r="AE93" s="4" t="n"/>
    </row>
    <row r="94">
      <c r="A94" s="4" t="n"/>
      <c r="B94" s="4" t="n"/>
      <c r="C94" s="4" t="n"/>
      <c r="D94" s="4" t="n"/>
      <c r="E94" s="5" t="n"/>
      <c r="F94" s="4" t="n"/>
      <c r="G94" s="4" t="n"/>
      <c r="H94" s="4" t="n"/>
      <c r="I94" s="5" t="n"/>
      <c r="J94" s="4" t="n"/>
      <c r="K94" s="5" t="n"/>
      <c r="L94" s="6">
        <f>IF(OR(E94="",I94="",K94=""),"",E94*I94*K94)</f>
        <v/>
      </c>
      <c r="M94" s="6">
        <f>IF(L94="","",IF(OR(E94&gt;=9,L94&gt;=200),"High",IF(L94&gt;=100,"Medium","Low")))</f>
        <v/>
      </c>
      <c r="N94" s="4" t="n"/>
      <c r="O94" s="4" t="n"/>
      <c r="P94" s="4" t="n"/>
      <c r="Q94" s="4" t="n"/>
      <c r="R94" s="4" t="n"/>
      <c r="S94" s="4" t="n"/>
      <c r="T94" s="5" t="n"/>
      <c r="U94" s="5" t="n"/>
      <c r="V94" s="5" t="n"/>
      <c r="W94" s="6">
        <f>IF(OR(T94="",U94="",V94=""),"",T94*U94*V94)</f>
        <v/>
      </c>
      <c r="X94" s="6">
        <f>IF(W94="","",IF(OR(T94&gt;=9,W94&gt;=200),"Accept with Management Approval",IF(W94&gt;=100,"Action / Monitor","Accept")))</f>
        <v/>
      </c>
      <c r="Y94" s="4" t="n"/>
      <c r="Z94" s="4" t="n"/>
      <c r="AA94" s="4" t="n"/>
      <c r="AB94" s="4" t="n"/>
      <c r="AC94" s="4" t="n"/>
      <c r="AD94" s="4" t="n"/>
      <c r="AE94" s="4" t="n"/>
    </row>
    <row r="95">
      <c r="A95" s="4" t="n"/>
      <c r="B95" s="4" t="n"/>
      <c r="C95" s="4" t="n"/>
      <c r="D95" s="4" t="n"/>
      <c r="E95" s="5" t="n"/>
      <c r="F95" s="4" t="n"/>
      <c r="G95" s="4" t="n"/>
      <c r="H95" s="4" t="n"/>
      <c r="I95" s="5" t="n"/>
      <c r="J95" s="4" t="n"/>
      <c r="K95" s="5" t="n"/>
      <c r="L95" s="6">
        <f>IF(OR(E95="",I95="",K95=""),"",E95*I95*K95)</f>
        <v/>
      </c>
      <c r="M95" s="6">
        <f>IF(L95="","",IF(OR(E95&gt;=9,L95&gt;=200),"High",IF(L95&gt;=100,"Medium","Low")))</f>
        <v/>
      </c>
      <c r="N95" s="4" t="n"/>
      <c r="O95" s="4" t="n"/>
      <c r="P95" s="4" t="n"/>
      <c r="Q95" s="4" t="n"/>
      <c r="R95" s="4" t="n"/>
      <c r="S95" s="4" t="n"/>
      <c r="T95" s="5" t="n"/>
      <c r="U95" s="5" t="n"/>
      <c r="V95" s="5" t="n"/>
      <c r="W95" s="6">
        <f>IF(OR(T95="",U95="",V95=""),"",T95*U95*V95)</f>
        <v/>
      </c>
      <c r="X95" s="6">
        <f>IF(W95="","",IF(OR(T95&gt;=9,W95&gt;=200),"Accept with Management Approval",IF(W95&gt;=100,"Action / Monitor","Accept")))</f>
        <v/>
      </c>
      <c r="Y95" s="4" t="n"/>
      <c r="Z95" s="4" t="n"/>
      <c r="AA95" s="4" t="n"/>
      <c r="AB95" s="4" t="n"/>
      <c r="AC95" s="4" t="n"/>
      <c r="AD95" s="4" t="n"/>
      <c r="AE95" s="4" t="n"/>
    </row>
    <row r="96">
      <c r="A96" s="4" t="n"/>
      <c r="B96" s="4" t="n"/>
      <c r="C96" s="4" t="n"/>
      <c r="D96" s="4" t="n"/>
      <c r="E96" s="5" t="n"/>
      <c r="F96" s="4" t="n"/>
      <c r="G96" s="4" t="n"/>
      <c r="H96" s="4" t="n"/>
      <c r="I96" s="5" t="n"/>
      <c r="J96" s="4" t="n"/>
      <c r="K96" s="5" t="n"/>
      <c r="L96" s="6">
        <f>IF(OR(E96="",I96="",K96=""),"",E96*I96*K96)</f>
        <v/>
      </c>
      <c r="M96" s="6">
        <f>IF(L96="","",IF(OR(E96&gt;=9,L96&gt;=200),"High",IF(L96&gt;=100,"Medium","Low")))</f>
        <v/>
      </c>
      <c r="N96" s="4" t="n"/>
      <c r="O96" s="4" t="n"/>
      <c r="P96" s="4" t="n"/>
      <c r="Q96" s="4" t="n"/>
      <c r="R96" s="4" t="n"/>
      <c r="S96" s="4" t="n"/>
      <c r="T96" s="5" t="n"/>
      <c r="U96" s="5" t="n"/>
      <c r="V96" s="5" t="n"/>
      <c r="W96" s="6">
        <f>IF(OR(T96="",U96="",V96=""),"",T96*U96*V96)</f>
        <v/>
      </c>
      <c r="X96" s="6">
        <f>IF(W96="","",IF(OR(T96&gt;=9,W96&gt;=200),"Accept with Management Approval",IF(W96&gt;=100,"Action / Monitor","Accept")))</f>
        <v/>
      </c>
      <c r="Y96" s="4" t="n"/>
      <c r="Z96" s="4" t="n"/>
      <c r="AA96" s="4" t="n"/>
      <c r="AB96" s="4" t="n"/>
      <c r="AC96" s="4" t="n"/>
      <c r="AD96" s="4" t="n"/>
      <c r="AE96" s="4" t="n"/>
    </row>
    <row r="97">
      <c r="A97" s="4" t="n"/>
      <c r="B97" s="4" t="n"/>
      <c r="C97" s="4" t="n"/>
      <c r="D97" s="4" t="n"/>
      <c r="E97" s="5" t="n"/>
      <c r="F97" s="4" t="n"/>
      <c r="G97" s="4" t="n"/>
      <c r="H97" s="4" t="n"/>
      <c r="I97" s="5" t="n"/>
      <c r="J97" s="4" t="n"/>
      <c r="K97" s="5" t="n"/>
      <c r="L97" s="6">
        <f>IF(OR(E97="",I97="",K97=""),"",E97*I97*K97)</f>
        <v/>
      </c>
      <c r="M97" s="6">
        <f>IF(L97="","",IF(OR(E97&gt;=9,L97&gt;=200),"High",IF(L97&gt;=100,"Medium","Low")))</f>
        <v/>
      </c>
      <c r="N97" s="4" t="n"/>
      <c r="O97" s="4" t="n"/>
      <c r="P97" s="4" t="n"/>
      <c r="Q97" s="4" t="n"/>
      <c r="R97" s="4" t="n"/>
      <c r="S97" s="4" t="n"/>
      <c r="T97" s="5" t="n"/>
      <c r="U97" s="5" t="n"/>
      <c r="V97" s="5" t="n"/>
      <c r="W97" s="6">
        <f>IF(OR(T97="",U97="",V97=""),"",T97*U97*V97)</f>
        <v/>
      </c>
      <c r="X97" s="6">
        <f>IF(W97="","",IF(OR(T97&gt;=9,W97&gt;=200),"Accept with Management Approval",IF(W97&gt;=100,"Action / Monitor","Accept")))</f>
        <v/>
      </c>
      <c r="Y97" s="4" t="n"/>
      <c r="Z97" s="4" t="n"/>
      <c r="AA97" s="4" t="n"/>
      <c r="AB97" s="4" t="n"/>
      <c r="AC97" s="4" t="n"/>
      <c r="AD97" s="4" t="n"/>
      <c r="AE97" s="4" t="n"/>
    </row>
    <row r="98">
      <c r="A98" s="4" t="n"/>
      <c r="B98" s="4" t="n"/>
      <c r="C98" s="4" t="n"/>
      <c r="D98" s="4" t="n"/>
      <c r="E98" s="5" t="n"/>
      <c r="F98" s="4" t="n"/>
      <c r="G98" s="4" t="n"/>
      <c r="H98" s="4" t="n"/>
      <c r="I98" s="5" t="n"/>
      <c r="J98" s="4" t="n"/>
      <c r="K98" s="5" t="n"/>
      <c r="L98" s="6">
        <f>IF(OR(E98="",I98="",K98=""),"",E98*I98*K98)</f>
        <v/>
      </c>
      <c r="M98" s="6">
        <f>IF(L98="","",IF(OR(E98&gt;=9,L98&gt;=200),"High",IF(L98&gt;=100,"Medium","Low")))</f>
        <v/>
      </c>
      <c r="N98" s="4" t="n"/>
      <c r="O98" s="4" t="n"/>
      <c r="P98" s="4" t="n"/>
      <c r="Q98" s="4" t="n"/>
      <c r="R98" s="4" t="n"/>
      <c r="S98" s="4" t="n"/>
      <c r="T98" s="5" t="n"/>
      <c r="U98" s="5" t="n"/>
      <c r="V98" s="5" t="n"/>
      <c r="W98" s="6">
        <f>IF(OR(T98="",U98="",V98=""),"",T98*U98*V98)</f>
        <v/>
      </c>
      <c r="X98" s="6">
        <f>IF(W98="","",IF(OR(T98&gt;=9,W98&gt;=200),"Accept with Management Approval",IF(W98&gt;=100,"Action / Monitor","Accept")))</f>
        <v/>
      </c>
      <c r="Y98" s="4" t="n"/>
      <c r="Z98" s="4" t="n"/>
      <c r="AA98" s="4" t="n"/>
      <c r="AB98" s="4" t="n"/>
      <c r="AC98" s="4" t="n"/>
      <c r="AD98" s="4" t="n"/>
      <c r="AE98" s="4" t="n"/>
    </row>
    <row r="99">
      <c r="A99" s="4" t="n"/>
      <c r="B99" s="4" t="n"/>
      <c r="C99" s="4" t="n"/>
      <c r="D99" s="4" t="n"/>
      <c r="E99" s="5" t="n"/>
      <c r="F99" s="4" t="n"/>
      <c r="G99" s="4" t="n"/>
      <c r="H99" s="4" t="n"/>
      <c r="I99" s="5" t="n"/>
      <c r="J99" s="4" t="n"/>
      <c r="K99" s="5" t="n"/>
      <c r="L99" s="6">
        <f>IF(OR(E99="",I99="",K99=""),"",E99*I99*K99)</f>
        <v/>
      </c>
      <c r="M99" s="6">
        <f>IF(L99="","",IF(OR(E99&gt;=9,L99&gt;=200),"High",IF(L99&gt;=100,"Medium","Low")))</f>
        <v/>
      </c>
      <c r="N99" s="4" t="n"/>
      <c r="O99" s="4" t="n"/>
      <c r="P99" s="4" t="n"/>
      <c r="Q99" s="4" t="n"/>
      <c r="R99" s="4" t="n"/>
      <c r="S99" s="4" t="n"/>
      <c r="T99" s="5" t="n"/>
      <c r="U99" s="5" t="n"/>
      <c r="V99" s="5" t="n"/>
      <c r="W99" s="6">
        <f>IF(OR(T99="",U99="",V99=""),"",T99*U99*V99)</f>
        <v/>
      </c>
      <c r="X99" s="6">
        <f>IF(W99="","",IF(OR(T99&gt;=9,W99&gt;=200),"Accept with Management Approval",IF(W99&gt;=100,"Action / Monitor","Accept")))</f>
        <v/>
      </c>
      <c r="Y99" s="4" t="n"/>
      <c r="Z99" s="4" t="n"/>
      <c r="AA99" s="4" t="n"/>
      <c r="AB99" s="4" t="n"/>
      <c r="AC99" s="4" t="n"/>
      <c r="AD99" s="4" t="n"/>
      <c r="AE99" s="4" t="n"/>
    </row>
    <row r="100">
      <c r="A100" s="4" t="n"/>
      <c r="B100" s="4" t="n"/>
      <c r="C100" s="4" t="n"/>
      <c r="D100" s="4" t="n"/>
      <c r="E100" s="5" t="n"/>
      <c r="F100" s="4" t="n"/>
      <c r="G100" s="4" t="n"/>
      <c r="H100" s="4" t="n"/>
      <c r="I100" s="5" t="n"/>
      <c r="J100" s="4" t="n"/>
      <c r="K100" s="5" t="n"/>
      <c r="L100" s="6">
        <f>IF(OR(E100="",I100="",K100=""),"",E100*I100*K100)</f>
        <v/>
      </c>
      <c r="M100" s="6">
        <f>IF(L100="","",IF(OR(E100&gt;=9,L100&gt;=200),"High",IF(L100&gt;=100,"Medium","Low")))</f>
        <v/>
      </c>
      <c r="N100" s="4" t="n"/>
      <c r="O100" s="4" t="n"/>
      <c r="P100" s="4" t="n"/>
      <c r="Q100" s="4" t="n"/>
      <c r="R100" s="4" t="n"/>
      <c r="S100" s="4" t="n"/>
      <c r="T100" s="5" t="n"/>
      <c r="U100" s="5" t="n"/>
      <c r="V100" s="5" t="n"/>
      <c r="W100" s="6">
        <f>IF(OR(T100="",U100="",V100=""),"",T100*U100*V100)</f>
        <v/>
      </c>
      <c r="X100" s="6">
        <f>IF(W100="","",IF(OR(T100&gt;=9,W100&gt;=200),"Accept with Management Approval",IF(W100&gt;=100,"Action / Monitor","Accept")))</f>
        <v/>
      </c>
      <c r="Y100" s="4" t="n"/>
      <c r="Z100" s="4" t="n"/>
      <c r="AA100" s="4" t="n"/>
      <c r="AB100" s="4" t="n"/>
      <c r="AC100" s="4" t="n"/>
      <c r="AD100" s="4" t="n"/>
      <c r="AE100" s="4" t="n"/>
    </row>
    <row r="101">
      <c r="A101" s="4" t="n"/>
      <c r="B101" s="4" t="n"/>
      <c r="C101" s="4" t="n"/>
      <c r="D101" s="4" t="n"/>
      <c r="E101" s="5" t="n"/>
      <c r="F101" s="4" t="n"/>
      <c r="G101" s="4" t="n"/>
      <c r="H101" s="4" t="n"/>
      <c r="I101" s="5" t="n"/>
      <c r="J101" s="4" t="n"/>
      <c r="K101" s="5" t="n"/>
      <c r="L101" s="6">
        <f>IF(OR(E101="",I101="",K101=""),"",E101*I101*K101)</f>
        <v/>
      </c>
      <c r="M101" s="6">
        <f>IF(L101="","",IF(OR(E101&gt;=9,L101&gt;=200),"High",IF(L101&gt;=100,"Medium","Low")))</f>
        <v/>
      </c>
      <c r="N101" s="4" t="n"/>
      <c r="O101" s="4" t="n"/>
      <c r="P101" s="4" t="n"/>
      <c r="Q101" s="4" t="n"/>
      <c r="R101" s="4" t="n"/>
      <c r="S101" s="4" t="n"/>
      <c r="T101" s="5" t="n"/>
      <c r="U101" s="5" t="n"/>
      <c r="V101" s="5" t="n"/>
      <c r="W101" s="6">
        <f>IF(OR(T101="",U101="",V101=""),"",T101*U101*V101)</f>
        <v/>
      </c>
      <c r="X101" s="6">
        <f>IF(W101="","",IF(OR(T101&gt;=9,W101&gt;=200),"Accept with Management Approval",IF(W101&gt;=100,"Action / Monitor","Accept")))</f>
        <v/>
      </c>
      <c r="Y101" s="4" t="n"/>
      <c r="Z101" s="4" t="n"/>
      <c r="AA101" s="4" t="n"/>
      <c r="AB101" s="4" t="n"/>
      <c r="AC101" s="4" t="n"/>
      <c r="AD101" s="4" t="n"/>
      <c r="AE101" s="4" t="n"/>
    </row>
    <row r="102">
      <c r="A102" s="4" t="n"/>
      <c r="B102" s="4" t="n"/>
      <c r="C102" s="4" t="n"/>
      <c r="D102" s="4" t="n"/>
      <c r="E102" s="5" t="n"/>
      <c r="F102" s="4" t="n"/>
      <c r="G102" s="4" t="n"/>
      <c r="H102" s="4" t="n"/>
      <c r="I102" s="5" t="n"/>
      <c r="J102" s="4" t="n"/>
      <c r="K102" s="5" t="n"/>
      <c r="L102" s="6">
        <f>IF(OR(E102="",I102="",K102=""),"",E102*I102*K102)</f>
        <v/>
      </c>
      <c r="M102" s="6">
        <f>IF(L102="","",IF(OR(E102&gt;=9,L102&gt;=200),"High",IF(L102&gt;=100,"Medium","Low")))</f>
        <v/>
      </c>
      <c r="N102" s="4" t="n"/>
      <c r="O102" s="4" t="n"/>
      <c r="P102" s="4" t="n"/>
      <c r="Q102" s="4" t="n"/>
      <c r="R102" s="4" t="n"/>
      <c r="S102" s="4" t="n"/>
      <c r="T102" s="5" t="n"/>
      <c r="U102" s="5" t="n"/>
      <c r="V102" s="5" t="n"/>
      <c r="W102" s="6">
        <f>IF(OR(T102="",U102="",V102=""),"",T102*U102*V102)</f>
        <v/>
      </c>
      <c r="X102" s="6">
        <f>IF(W102="","",IF(OR(T102&gt;=9,W102&gt;=200),"Accept with Management Approval",IF(W102&gt;=100,"Action / Monitor","Accept")))</f>
        <v/>
      </c>
      <c r="Y102" s="4" t="n"/>
      <c r="Z102" s="4" t="n"/>
      <c r="AA102" s="4" t="n"/>
      <c r="AB102" s="4" t="n"/>
      <c r="AC102" s="4" t="n"/>
      <c r="AD102" s="4" t="n"/>
      <c r="AE102" s="4" t="n"/>
    </row>
    <row r="103">
      <c r="A103" s="4" t="n"/>
      <c r="B103" s="4" t="n"/>
      <c r="C103" s="4" t="n"/>
      <c r="D103" s="4" t="n"/>
      <c r="E103" s="5" t="n"/>
      <c r="F103" s="4" t="n"/>
      <c r="G103" s="4" t="n"/>
      <c r="H103" s="4" t="n"/>
      <c r="I103" s="5" t="n"/>
      <c r="J103" s="4" t="n"/>
      <c r="K103" s="5" t="n"/>
      <c r="L103" s="6">
        <f>IF(OR(E103="",I103="",K103=""),"",E103*I103*K103)</f>
        <v/>
      </c>
      <c r="M103" s="6">
        <f>IF(L103="","",IF(OR(E103&gt;=9,L103&gt;=200),"High",IF(L103&gt;=100,"Medium","Low")))</f>
        <v/>
      </c>
      <c r="N103" s="4" t="n"/>
      <c r="O103" s="4" t="n"/>
      <c r="P103" s="4" t="n"/>
      <c r="Q103" s="4" t="n"/>
      <c r="R103" s="4" t="n"/>
      <c r="S103" s="4" t="n"/>
      <c r="T103" s="5" t="n"/>
      <c r="U103" s="5" t="n"/>
      <c r="V103" s="5" t="n"/>
      <c r="W103" s="6">
        <f>IF(OR(T103="",U103="",V103=""),"",T103*U103*V103)</f>
        <v/>
      </c>
      <c r="X103" s="6">
        <f>IF(W103="","",IF(OR(T103&gt;=9,W103&gt;=200),"Accept with Management Approval",IF(W103&gt;=100,"Action / Monitor","Accept")))</f>
        <v/>
      </c>
      <c r="Y103" s="4" t="n"/>
      <c r="Z103" s="4" t="n"/>
      <c r="AA103" s="4" t="n"/>
      <c r="AB103" s="4" t="n"/>
      <c r="AC103" s="4" t="n"/>
      <c r="AD103" s="4" t="n"/>
      <c r="AE103" s="4" t="n"/>
    </row>
    <row r="104">
      <c r="A104" s="4" t="n"/>
      <c r="B104" s="4" t="n"/>
      <c r="C104" s="4" t="n"/>
      <c r="D104" s="4" t="n"/>
      <c r="E104" s="5" t="n"/>
      <c r="F104" s="4" t="n"/>
      <c r="G104" s="4" t="n"/>
      <c r="H104" s="4" t="n"/>
      <c r="I104" s="5" t="n"/>
      <c r="J104" s="4" t="n"/>
      <c r="K104" s="5" t="n"/>
      <c r="L104" s="6">
        <f>IF(OR(E104="",I104="",K104=""),"",E104*I104*K104)</f>
        <v/>
      </c>
      <c r="M104" s="6">
        <f>IF(L104="","",IF(OR(E104&gt;=9,L104&gt;=200),"High",IF(L104&gt;=100,"Medium","Low")))</f>
        <v/>
      </c>
      <c r="N104" s="4" t="n"/>
      <c r="O104" s="4" t="n"/>
      <c r="P104" s="4" t="n"/>
      <c r="Q104" s="4" t="n"/>
      <c r="R104" s="4" t="n"/>
      <c r="S104" s="4" t="n"/>
      <c r="T104" s="5" t="n"/>
      <c r="U104" s="5" t="n"/>
      <c r="V104" s="5" t="n"/>
      <c r="W104" s="6">
        <f>IF(OR(T104="",U104="",V104=""),"",T104*U104*V104)</f>
        <v/>
      </c>
      <c r="X104" s="6">
        <f>IF(W104="","",IF(OR(T104&gt;=9,W104&gt;=200),"Accept with Management Approval",IF(W104&gt;=100,"Action / Monitor","Accept")))</f>
        <v/>
      </c>
      <c r="Y104" s="4" t="n"/>
      <c r="Z104" s="4" t="n"/>
      <c r="AA104" s="4" t="n"/>
      <c r="AB104" s="4" t="n"/>
      <c r="AC104" s="4" t="n"/>
      <c r="AD104" s="4" t="n"/>
      <c r="AE104" s="4" t="n"/>
    </row>
    <row r="105">
      <c r="A105" s="4" t="n"/>
      <c r="B105" s="4" t="n"/>
      <c r="C105" s="4" t="n"/>
      <c r="D105" s="4" t="n"/>
      <c r="E105" s="5" t="n"/>
      <c r="F105" s="4" t="n"/>
      <c r="G105" s="4" t="n"/>
      <c r="H105" s="4" t="n"/>
      <c r="I105" s="5" t="n"/>
      <c r="J105" s="4" t="n"/>
      <c r="K105" s="5" t="n"/>
      <c r="L105" s="6">
        <f>IF(OR(E105="",I105="",K105=""),"",E105*I105*K105)</f>
        <v/>
      </c>
      <c r="M105" s="6">
        <f>IF(L105="","",IF(OR(E105&gt;=9,L105&gt;=200),"High",IF(L105&gt;=100,"Medium","Low")))</f>
        <v/>
      </c>
      <c r="N105" s="4" t="n"/>
      <c r="O105" s="4" t="n"/>
      <c r="P105" s="4" t="n"/>
      <c r="Q105" s="4" t="n"/>
      <c r="R105" s="4" t="n"/>
      <c r="S105" s="4" t="n"/>
      <c r="T105" s="5" t="n"/>
      <c r="U105" s="5" t="n"/>
      <c r="V105" s="5" t="n"/>
      <c r="W105" s="6">
        <f>IF(OR(T105="",U105="",V105=""),"",T105*U105*V105)</f>
        <v/>
      </c>
      <c r="X105" s="6">
        <f>IF(W105="","",IF(OR(T105&gt;=9,W105&gt;=200),"Accept with Management Approval",IF(W105&gt;=100,"Action / Monitor","Accept")))</f>
        <v/>
      </c>
      <c r="Y105" s="4" t="n"/>
      <c r="Z105" s="4" t="n"/>
      <c r="AA105" s="4" t="n"/>
      <c r="AB105" s="4" t="n"/>
      <c r="AC105" s="4" t="n"/>
      <c r="AD105" s="4" t="n"/>
      <c r="AE105" s="4" t="n"/>
    </row>
    <row r="106">
      <c r="A106" s="4" t="n"/>
      <c r="B106" s="4" t="n"/>
      <c r="C106" s="4" t="n"/>
      <c r="D106" s="4" t="n"/>
      <c r="E106" s="5" t="n"/>
      <c r="F106" s="4" t="n"/>
      <c r="G106" s="4" t="n"/>
      <c r="H106" s="4" t="n"/>
      <c r="I106" s="5" t="n"/>
      <c r="J106" s="4" t="n"/>
      <c r="K106" s="5" t="n"/>
      <c r="L106" s="6">
        <f>IF(OR(E106="",I106="",K106=""),"",E106*I106*K106)</f>
        <v/>
      </c>
      <c r="M106" s="6">
        <f>IF(L106="","",IF(OR(E106&gt;=9,L106&gt;=200),"High",IF(L106&gt;=100,"Medium","Low")))</f>
        <v/>
      </c>
      <c r="N106" s="4" t="n"/>
      <c r="O106" s="4" t="n"/>
      <c r="P106" s="4" t="n"/>
      <c r="Q106" s="4" t="n"/>
      <c r="R106" s="4" t="n"/>
      <c r="S106" s="4" t="n"/>
      <c r="T106" s="5" t="n"/>
      <c r="U106" s="5" t="n"/>
      <c r="V106" s="5" t="n"/>
      <c r="W106" s="6">
        <f>IF(OR(T106="",U106="",V106=""),"",T106*U106*V106)</f>
        <v/>
      </c>
      <c r="X106" s="6">
        <f>IF(W106="","",IF(OR(T106&gt;=9,W106&gt;=200),"Accept with Management Approval",IF(W106&gt;=100,"Action / Monitor","Accept")))</f>
        <v/>
      </c>
      <c r="Y106" s="4" t="n"/>
      <c r="Z106" s="4" t="n"/>
      <c r="AA106" s="4" t="n"/>
      <c r="AB106" s="4" t="n"/>
      <c r="AC106" s="4" t="n"/>
      <c r="AD106" s="4" t="n"/>
      <c r="AE106" s="4" t="n"/>
    </row>
    <row r="107">
      <c r="A107" s="4" t="n"/>
      <c r="B107" s="4" t="n"/>
      <c r="C107" s="4" t="n"/>
      <c r="D107" s="4" t="n"/>
      <c r="E107" s="5" t="n"/>
      <c r="F107" s="4" t="n"/>
      <c r="G107" s="4" t="n"/>
      <c r="H107" s="4" t="n"/>
      <c r="I107" s="5" t="n"/>
      <c r="J107" s="4" t="n"/>
      <c r="K107" s="5" t="n"/>
      <c r="L107" s="6">
        <f>IF(OR(E107="",I107="",K107=""),"",E107*I107*K107)</f>
        <v/>
      </c>
      <c r="M107" s="6">
        <f>IF(L107="","",IF(OR(E107&gt;=9,L107&gt;=200),"High",IF(L107&gt;=100,"Medium","Low")))</f>
        <v/>
      </c>
      <c r="N107" s="4" t="n"/>
      <c r="O107" s="4" t="n"/>
      <c r="P107" s="4" t="n"/>
      <c r="Q107" s="4" t="n"/>
      <c r="R107" s="4" t="n"/>
      <c r="S107" s="4" t="n"/>
      <c r="T107" s="5" t="n"/>
      <c r="U107" s="5" t="n"/>
      <c r="V107" s="5" t="n"/>
      <c r="W107" s="6">
        <f>IF(OR(T107="",U107="",V107=""),"",T107*U107*V107)</f>
        <v/>
      </c>
      <c r="X107" s="6">
        <f>IF(W107="","",IF(OR(T107&gt;=9,W107&gt;=200),"Accept with Management Approval",IF(W107&gt;=100,"Action / Monitor","Accept")))</f>
        <v/>
      </c>
      <c r="Y107" s="4" t="n"/>
      <c r="Z107" s="4" t="n"/>
      <c r="AA107" s="4" t="n"/>
      <c r="AB107" s="4" t="n"/>
      <c r="AC107" s="4" t="n"/>
      <c r="AD107" s="4" t="n"/>
      <c r="AE107" s="4" t="n"/>
    </row>
    <row r="108">
      <c r="A108" s="4" t="n"/>
      <c r="B108" s="4" t="n"/>
      <c r="C108" s="4" t="n"/>
      <c r="D108" s="4" t="n"/>
      <c r="E108" s="5" t="n"/>
      <c r="F108" s="4" t="n"/>
      <c r="G108" s="4" t="n"/>
      <c r="H108" s="4" t="n"/>
      <c r="I108" s="5" t="n"/>
      <c r="J108" s="4" t="n"/>
      <c r="K108" s="5" t="n"/>
      <c r="L108" s="6">
        <f>IF(OR(E108="",I108="",K108=""),"",E108*I108*K108)</f>
        <v/>
      </c>
      <c r="M108" s="6">
        <f>IF(L108="","",IF(OR(E108&gt;=9,L108&gt;=200),"High",IF(L108&gt;=100,"Medium","Low")))</f>
        <v/>
      </c>
      <c r="N108" s="4" t="n"/>
      <c r="O108" s="4" t="n"/>
      <c r="P108" s="4" t="n"/>
      <c r="Q108" s="4" t="n"/>
      <c r="R108" s="4" t="n"/>
      <c r="S108" s="4" t="n"/>
      <c r="T108" s="5" t="n"/>
      <c r="U108" s="5" t="n"/>
      <c r="V108" s="5" t="n"/>
      <c r="W108" s="6">
        <f>IF(OR(T108="",U108="",V108=""),"",T108*U108*V108)</f>
        <v/>
      </c>
      <c r="X108" s="6">
        <f>IF(W108="","",IF(OR(T108&gt;=9,W108&gt;=200),"Accept with Management Approval",IF(W108&gt;=100,"Action / Monitor","Accept")))</f>
        <v/>
      </c>
      <c r="Y108" s="4" t="n"/>
      <c r="Z108" s="4" t="n"/>
      <c r="AA108" s="4" t="n"/>
      <c r="AB108" s="4" t="n"/>
      <c r="AC108" s="4" t="n"/>
      <c r="AD108" s="4" t="n"/>
      <c r="AE108" s="4" t="n"/>
    </row>
  </sheetData>
  <autoFilter ref="A8:AE108"/>
  <mergeCells count="1">
    <mergeCell ref="A1:AE1"/>
  </mergeCells>
  <conditionalFormatting sqref="L9:L108">
    <cfRule type="expression" priority="1" dxfId="0">
      <formula>L9&gt;=200</formula>
    </cfRule>
    <cfRule type="expression" priority="2" dxfId="1">
      <formula>AND(L9&gt;=100,L9&lt;200)</formula>
    </cfRule>
    <cfRule type="expression" priority="3" dxfId="2">
      <formula>AND(L9&gt;0,L9&lt;100)</formula>
    </cfRule>
  </conditionalFormatting>
  <conditionalFormatting sqref="W9:W108">
    <cfRule type="expression" priority="4" dxfId="0">
      <formula>W9&gt;=200</formula>
    </cfRule>
  </conditionalFormatting>
  <conditionalFormatting sqref="M9:M108">
    <cfRule type="expression" priority="5" dxfId="0">
      <formula>M9="High"</formula>
    </cfRule>
    <cfRule type="expression" priority="6" dxfId="1">
      <formula>M9="Medium"</formula>
    </cfRule>
    <cfRule type="expression" priority="7" dxfId="2">
      <formula>M9="Low"</formula>
    </cfRule>
  </conditionalFormatting>
  <dataValidations count="3">
    <dataValidation sqref="E9:E108 I9:I108 K9:K108 T9:T108 U9:U108 V9:V108" showDropDown="0" showInputMessage="0" showErrorMessage="0" allowBlank="1" errorTitle="Invalid Rating" error="Enter an integer between 1 and 10." type="whole" operator="between">
      <formula1>1</formula1>
      <formula2>10</formula2>
    </dataValidation>
    <dataValidation sqref="Q9:Q108" showDropDown="0" showInputMessage="0" showErrorMessage="0" allowBlank="1" type="list">
      <formula1>"Open,In Progress,Completed,Deferred,Cancelled"</formula1>
    </dataValidation>
    <dataValidation sqref="F9:F108" showDropDown="0" showInputMessage="0" showErrorMessage="0" allowBlank="1" type="list">
      <formula1>"None,Safety,Regulatory,Critical,Major,Key Characteristic"</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0" customWidth="1" min="1" max="1"/>
    <col width="45" customWidth="1" min="2" max="2"/>
    <col width="40" customWidth="1" min="3" max="3"/>
    <col width="40" customWidth="1" min="4" max="4"/>
    <col width="35" customWidth="1" min="5" max="5"/>
  </cols>
  <sheetData>
    <row r="1">
      <c r="A1" s="7" t="inlineStr">
        <is>
          <t>DFMEA Rating Scales - Customize to Customer / Industry Standard</t>
        </is>
      </c>
    </row>
    <row r="3">
      <c r="A3" s="8" t="inlineStr">
        <is>
          <t>Rating</t>
        </is>
      </c>
      <c r="B3" s="8" t="inlineStr">
        <is>
          <t>Severity Guidance</t>
        </is>
      </c>
      <c r="C3" s="8" t="inlineStr">
        <is>
          <t>Occurrence Guidance</t>
        </is>
      </c>
      <c r="D3" s="8" t="inlineStr">
        <is>
          <t>Detection Guidance</t>
        </is>
      </c>
      <c r="E3" s="8" t="inlineStr">
        <is>
          <t>Typical Interpretation</t>
        </is>
      </c>
    </row>
    <row r="4">
      <c r="A4" s="9" t="n">
        <v>10</v>
      </c>
      <c r="B4" s="9" t="inlineStr">
        <is>
          <t>Hazardous without warning; safety/regulatory non-compliance</t>
        </is>
      </c>
      <c r="C4" s="9" t="inlineStr">
        <is>
          <t>Very high; failure almost inevitable</t>
        </is>
      </c>
      <c r="D4" s="9" t="inlineStr">
        <is>
          <t>No detection control</t>
        </is>
      </c>
      <c r="E4" s="9" t="inlineStr">
        <is>
          <t>Higher number = higher risk / weaker control</t>
        </is>
      </c>
    </row>
    <row r="5">
      <c r="A5" s="9" t="n">
        <v>9</v>
      </c>
      <c r="B5" s="9" t="inlineStr">
        <is>
          <t>Hazardous with warning; serious safety/regulatory impact</t>
        </is>
      </c>
      <c r="C5" s="9" t="inlineStr">
        <is>
          <t>Very high; repeated failures likely</t>
        </is>
      </c>
      <c r="D5" s="9" t="inlineStr">
        <is>
          <t>Very remote detection</t>
        </is>
      </c>
      <c r="E5" s="9" t="inlineStr">
        <is>
          <t>Higher number = higher risk / weaker control</t>
        </is>
      </c>
    </row>
    <row r="6">
      <c r="A6" s="9" t="n">
        <v>8</v>
      </c>
      <c r="B6" s="9" t="inlineStr">
        <is>
          <t>Loss of primary function; product inoperable</t>
        </is>
      </c>
      <c r="C6" s="9" t="inlineStr">
        <is>
          <t>High; frequent failures</t>
        </is>
      </c>
      <c r="D6" s="9" t="inlineStr">
        <is>
          <t>Remote detection</t>
        </is>
      </c>
      <c r="E6" s="9" t="inlineStr">
        <is>
          <t>Higher number = higher risk / weaker control</t>
        </is>
      </c>
    </row>
    <row r="7">
      <c r="A7" s="9" t="n">
        <v>7</v>
      </c>
      <c r="B7" s="9" t="inlineStr">
        <is>
          <t>Major performance degradation; customer highly dissatisfied</t>
        </is>
      </c>
      <c r="C7" s="9" t="inlineStr">
        <is>
          <t>High-moderate; recurring failures</t>
        </is>
      </c>
      <c r="D7" s="9" t="inlineStr">
        <is>
          <t>Very low detection capability</t>
        </is>
      </c>
      <c r="E7" s="9" t="inlineStr">
        <is>
          <t>Higher number = higher risk / weaker control</t>
        </is>
      </c>
    </row>
    <row r="8">
      <c r="A8" s="9" t="n">
        <v>6</v>
      </c>
      <c r="B8" s="9" t="inlineStr">
        <is>
          <t>Moderate degradation; partial function loss</t>
        </is>
      </c>
      <c r="C8" s="9" t="inlineStr">
        <is>
          <t>Moderate; occasional failures</t>
        </is>
      </c>
      <c r="D8" s="9" t="inlineStr">
        <is>
          <t>Low detection capability</t>
        </is>
      </c>
      <c r="E8" s="9" t="inlineStr">
        <is>
          <t>Higher number = higher risk / weaker control</t>
        </is>
      </c>
    </row>
    <row r="9">
      <c r="A9" s="9" t="n">
        <v>5</v>
      </c>
      <c r="B9" s="9" t="inlineStr">
        <is>
          <t>Reduced convenience/comfort; noticeable issue</t>
        </is>
      </c>
      <c r="C9" s="9" t="inlineStr">
        <is>
          <t>Low-moderate; isolated failures</t>
        </is>
      </c>
      <c r="D9" s="9" t="inlineStr">
        <is>
          <t>Moderate detection capability</t>
        </is>
      </c>
      <c r="E9" s="9" t="inlineStr">
        <is>
          <t>Higher number = higher risk / weaker control</t>
        </is>
      </c>
    </row>
    <row r="10">
      <c r="A10" s="9" t="n">
        <v>4</v>
      </c>
      <c r="B10" s="9" t="inlineStr">
        <is>
          <t>Minor degradation; most customers notice</t>
        </is>
      </c>
      <c r="C10" s="9" t="inlineStr">
        <is>
          <t>Low; relatively few failures</t>
        </is>
      </c>
      <c r="D10" s="9" t="inlineStr">
        <is>
          <t>Moderately high detection</t>
        </is>
      </c>
      <c r="E10" s="9" t="inlineStr">
        <is>
          <t>Higher number = higher risk / weaker control</t>
        </is>
      </c>
    </row>
    <row r="11">
      <c r="A11" s="9" t="n">
        <v>3</v>
      </c>
      <c r="B11" s="9" t="inlineStr">
        <is>
          <t>Very minor; some customers notice</t>
        </is>
      </c>
      <c r="C11" s="9" t="inlineStr">
        <is>
          <t>Very low; rare failures</t>
        </is>
      </c>
      <c r="D11" s="9" t="inlineStr">
        <is>
          <t>High detection capability</t>
        </is>
      </c>
      <c r="E11" s="9" t="inlineStr">
        <is>
          <t>Higher number = higher risk / weaker control</t>
        </is>
      </c>
    </row>
    <row r="12">
      <c r="A12" s="9" t="n">
        <v>2</v>
      </c>
      <c r="B12" s="9" t="inlineStr">
        <is>
          <t>No discernible effect to customer; internal impact only</t>
        </is>
      </c>
      <c r="C12" s="9" t="inlineStr">
        <is>
          <t>Remote; unlikely failures</t>
        </is>
      </c>
      <c r="D12" s="9" t="inlineStr">
        <is>
          <t>Very high detection capability</t>
        </is>
      </c>
      <c r="E12" s="9" t="inlineStr">
        <is>
          <t>Higher number = higher risk / weaker control</t>
        </is>
      </c>
    </row>
    <row r="13">
      <c r="A13" s="9" t="n">
        <v>1</v>
      </c>
      <c r="B13" s="9" t="inlineStr">
        <is>
          <t>No effect</t>
        </is>
      </c>
      <c r="C13" s="9" t="inlineStr">
        <is>
          <t>Extremely remote; failure unlikely</t>
        </is>
      </c>
      <c r="D13" s="9" t="inlineStr">
        <is>
          <t>Almost certain detection/prevention</t>
        </is>
      </c>
      <c r="E13" s="9" t="inlineStr">
        <is>
          <t>Higher number = higher risk / weaker control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120" customWidth="1" min="2" max="2"/>
  </cols>
  <sheetData>
    <row r="1">
      <c r="A1" s="7" t="inlineStr">
        <is>
          <t>How to Use This DFMEA Template</t>
        </is>
      </c>
    </row>
    <row r="3">
      <c r="A3" s="2" t="inlineStr">
        <is>
          <t>Purpose</t>
        </is>
      </c>
      <c r="B3" s="10" t="inlineStr">
        <is>
          <t>Use this workbook to identify and reduce design-related failure risks before design release, prototype validation, supplier sourcing, and production launch.</t>
        </is>
      </c>
    </row>
    <row r="4">
      <c r="A4" s="2" t="inlineStr">
        <is>
          <t>Recommended Sequence</t>
        </is>
      </c>
      <c r="B4" s="10" t="inlineStr">
        <is>
          <t>1. Define item/function and requirements. 2. Identify failure modes and effects. 3. Rate severity. 4. Identify causes and prevention controls. 5. Rate occurrence. 6. Identify detection controls. 7. Rate detection. 8. Prioritize and assign actions. 9. Re-rate residual risk after actions.</t>
        </is>
      </c>
    </row>
    <row r="5">
      <c r="A5" s="2" t="inlineStr">
        <is>
          <t>Engineering Notes</t>
        </is>
      </c>
      <c r="B5" s="10" t="inlineStr">
        <is>
          <t>Link each row to requirement IDs, CAD/drawing references, test cases, tolerance stack-up, simulations, design reviews, and change records wherever possible.</t>
        </is>
      </c>
    </row>
    <row r="6">
      <c r="A6" s="2" t="inlineStr">
        <is>
          <t>Cost Engineering Notes</t>
        </is>
      </c>
      <c r="B6" s="10" t="inlineStr">
        <is>
          <t>Use DFMEA actions to prevent warranty cost, rework, scrap, late engineering changes, tooling modification, supplier quality claims, and customer launch issues.</t>
        </is>
      </c>
    </row>
    <row r="7">
      <c r="A7" s="2" t="inlineStr">
        <is>
          <t>Customization</t>
        </is>
      </c>
      <c r="B7" s="10" t="inlineStr">
        <is>
          <t>Adjust rating scales, action priority logic, and mandatory fields as per customer-specific procedures, AIAG-VDA alignment, or internal QMS requirements.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20" customWidth="1" min="4" max="4"/>
    <col width="16" customWidth="1" min="5" max="5"/>
    <col width="16" customWidth="1" min="6" max="6"/>
    <col width="16" customWidth="1" min="7" max="7"/>
    <col width="30" customWidth="1" min="8" max="8"/>
    <col width="18" customWidth="1" min="9" max="9"/>
    <col width="30" customWidth="1" min="10" max="10"/>
  </cols>
  <sheetData>
    <row r="1">
      <c r="A1" s="11" t="inlineStr">
        <is>
          <t>Action ID</t>
        </is>
      </c>
      <c r="B1" s="11" t="inlineStr">
        <is>
          <t>DFMEA Row No.</t>
        </is>
      </c>
      <c r="C1" s="11" t="inlineStr">
        <is>
          <t>Recommended Action</t>
        </is>
      </c>
      <c r="D1" s="11" t="inlineStr">
        <is>
          <t>Owner</t>
        </is>
      </c>
      <c r="E1" s="11" t="inlineStr">
        <is>
          <t>Target Date</t>
        </is>
      </c>
      <c r="F1" s="11" t="inlineStr">
        <is>
          <t>Status</t>
        </is>
      </c>
      <c r="G1" s="11" t="inlineStr">
        <is>
          <t>Completion Date</t>
        </is>
      </c>
      <c r="H1" s="11" t="inlineStr">
        <is>
          <t>Evidence / Link</t>
        </is>
      </c>
      <c r="I1" s="11" t="inlineStr">
        <is>
          <t>Escalation Required</t>
        </is>
      </c>
      <c r="J1" s="11" t="inlineStr">
        <is>
          <t>Comments</t>
        </is>
      </c>
    </row>
    <row r="2">
      <c r="A2" s="4" t="inlineStr">
        <is>
          <t>A-001</t>
        </is>
      </c>
      <c r="B2" s="4" t="n"/>
      <c r="C2" s="4" t="n"/>
      <c r="D2" s="4" t="n"/>
      <c r="E2" s="4" t="n"/>
      <c r="F2" s="4" t="n"/>
      <c r="G2" s="4" t="n"/>
      <c r="H2" s="4" t="n"/>
      <c r="I2" s="4" t="n"/>
      <c r="J2" s="4" t="n"/>
    </row>
    <row r="3">
      <c r="A3" s="4" t="inlineStr">
        <is>
          <t>A-002</t>
        </is>
      </c>
      <c r="B3" s="4" t="n"/>
      <c r="C3" s="4" t="n"/>
      <c r="D3" s="4" t="n"/>
      <c r="E3" s="4" t="n"/>
      <c r="F3" s="4" t="n"/>
      <c r="G3" s="4" t="n"/>
      <c r="H3" s="4" t="n"/>
      <c r="I3" s="4" t="n"/>
      <c r="J3" s="4" t="n"/>
    </row>
    <row r="4">
      <c r="A4" s="4" t="inlineStr">
        <is>
          <t>A-003</t>
        </is>
      </c>
      <c r="B4" s="4" t="n"/>
      <c r="C4" s="4" t="n"/>
      <c r="D4" s="4" t="n"/>
      <c r="E4" s="4" t="n"/>
      <c r="F4" s="4" t="n"/>
      <c r="G4" s="4" t="n"/>
      <c r="H4" s="4" t="n"/>
      <c r="I4" s="4" t="n"/>
      <c r="J4" s="4" t="n"/>
    </row>
    <row r="5">
      <c r="A5" s="4" t="inlineStr">
        <is>
          <t>A-004</t>
        </is>
      </c>
      <c r="B5" s="4" t="n"/>
      <c r="C5" s="4" t="n"/>
      <c r="D5" s="4" t="n"/>
      <c r="E5" s="4" t="n"/>
      <c r="F5" s="4" t="n"/>
      <c r="G5" s="4" t="n"/>
      <c r="H5" s="4" t="n"/>
      <c r="I5" s="4" t="n"/>
      <c r="J5" s="4" t="n"/>
    </row>
    <row r="6">
      <c r="A6" s="4" t="inlineStr">
        <is>
          <t>A-005</t>
        </is>
      </c>
      <c r="B6" s="4" t="n"/>
      <c r="C6" s="4" t="n"/>
      <c r="D6" s="4" t="n"/>
      <c r="E6" s="4" t="n"/>
      <c r="F6" s="4" t="n"/>
      <c r="G6" s="4" t="n"/>
      <c r="H6" s="4" t="n"/>
      <c r="I6" s="4" t="n"/>
      <c r="J6" s="4" t="n"/>
    </row>
    <row r="7">
      <c r="A7" s="4" t="inlineStr">
        <is>
          <t>A-006</t>
        </is>
      </c>
      <c r="B7" s="4" t="n"/>
      <c r="C7" s="4" t="n"/>
      <c r="D7" s="4" t="n"/>
      <c r="E7" s="4" t="n"/>
      <c r="F7" s="4" t="n"/>
      <c r="G7" s="4" t="n"/>
      <c r="H7" s="4" t="n"/>
      <c r="I7" s="4" t="n"/>
      <c r="J7" s="4" t="n"/>
    </row>
    <row r="8">
      <c r="A8" s="4" t="inlineStr">
        <is>
          <t>A-007</t>
        </is>
      </c>
      <c r="B8" s="4" t="n"/>
      <c r="C8" s="4" t="n"/>
      <c r="D8" s="4" t="n"/>
      <c r="E8" s="4" t="n"/>
      <c r="F8" s="4" t="n"/>
      <c r="G8" s="4" t="n"/>
      <c r="H8" s="4" t="n"/>
      <c r="I8" s="4" t="n"/>
      <c r="J8" s="4" t="n"/>
    </row>
    <row r="9">
      <c r="A9" s="4" t="inlineStr">
        <is>
          <t>A-008</t>
        </is>
      </c>
      <c r="B9" s="4" t="n"/>
      <c r="C9" s="4" t="n"/>
      <c r="D9" s="4" t="n"/>
      <c r="E9" s="4" t="n"/>
      <c r="F9" s="4" t="n"/>
      <c r="G9" s="4" t="n"/>
      <c r="H9" s="4" t="n"/>
      <c r="I9" s="4" t="n"/>
      <c r="J9" s="4" t="n"/>
    </row>
    <row r="10">
      <c r="A10" s="4" t="inlineStr">
        <is>
          <t>A-009</t>
        </is>
      </c>
      <c r="B10" s="4" t="n"/>
      <c r="C10" s="4" t="n"/>
      <c r="D10" s="4" t="n"/>
      <c r="E10" s="4" t="n"/>
      <c r="F10" s="4" t="n"/>
      <c r="G10" s="4" t="n"/>
      <c r="H10" s="4" t="n"/>
      <c r="I10" s="4" t="n"/>
      <c r="J10" s="4" t="n"/>
    </row>
    <row r="11">
      <c r="A11" s="4" t="inlineStr">
        <is>
          <t>A-010</t>
        </is>
      </c>
      <c r="B11" s="4" t="n"/>
      <c r="C11" s="4" t="n"/>
      <c r="D11" s="4" t="n"/>
      <c r="E11" s="4" t="n"/>
      <c r="F11" s="4" t="n"/>
      <c r="G11" s="4" t="n"/>
      <c r="H11" s="4" t="n"/>
      <c r="I11" s="4" t="n"/>
      <c r="J11" s="4" t="n"/>
    </row>
    <row r="12">
      <c r="A12" s="4" t="inlineStr">
        <is>
          <t>A-011</t>
        </is>
      </c>
      <c r="B12" s="4" t="n"/>
      <c r="C12" s="4" t="n"/>
      <c r="D12" s="4" t="n"/>
      <c r="E12" s="4" t="n"/>
      <c r="F12" s="4" t="n"/>
      <c r="G12" s="4" t="n"/>
      <c r="H12" s="4" t="n"/>
      <c r="I12" s="4" t="n"/>
      <c r="J12" s="4" t="n"/>
    </row>
    <row r="13">
      <c r="A13" s="4" t="inlineStr">
        <is>
          <t>A-012</t>
        </is>
      </c>
      <c r="B13" s="4" t="n"/>
      <c r="C13" s="4" t="n"/>
      <c r="D13" s="4" t="n"/>
      <c r="E13" s="4" t="n"/>
      <c r="F13" s="4" t="n"/>
      <c r="G13" s="4" t="n"/>
      <c r="H13" s="4" t="n"/>
      <c r="I13" s="4" t="n"/>
      <c r="J13" s="4" t="n"/>
    </row>
    <row r="14">
      <c r="A14" s="4" t="inlineStr">
        <is>
          <t>A-013</t>
        </is>
      </c>
      <c r="B14" s="4" t="n"/>
      <c r="C14" s="4" t="n"/>
      <c r="D14" s="4" t="n"/>
      <c r="E14" s="4" t="n"/>
      <c r="F14" s="4" t="n"/>
      <c r="G14" s="4" t="n"/>
      <c r="H14" s="4" t="n"/>
      <c r="I14" s="4" t="n"/>
      <c r="J14" s="4" t="n"/>
    </row>
    <row r="15">
      <c r="A15" s="4" t="inlineStr">
        <is>
          <t>A-014</t>
        </is>
      </c>
      <c r="B15" s="4" t="n"/>
      <c r="C15" s="4" t="n"/>
      <c r="D15" s="4" t="n"/>
      <c r="E15" s="4" t="n"/>
      <c r="F15" s="4" t="n"/>
      <c r="G15" s="4" t="n"/>
      <c r="H15" s="4" t="n"/>
      <c r="I15" s="4" t="n"/>
      <c r="J15" s="4" t="n"/>
    </row>
    <row r="16">
      <c r="A16" s="4" t="inlineStr">
        <is>
          <t>A-015</t>
        </is>
      </c>
      <c r="B16" s="4" t="n"/>
      <c r="C16" s="4" t="n"/>
      <c r="D16" s="4" t="n"/>
      <c r="E16" s="4" t="n"/>
      <c r="F16" s="4" t="n"/>
      <c r="G16" s="4" t="n"/>
      <c r="H16" s="4" t="n"/>
      <c r="I16" s="4" t="n"/>
      <c r="J16" s="4" t="n"/>
    </row>
    <row r="17">
      <c r="A17" s="4" t="inlineStr">
        <is>
          <t>A-016</t>
        </is>
      </c>
      <c r="B17" s="4" t="n"/>
      <c r="C17" s="4" t="n"/>
      <c r="D17" s="4" t="n"/>
      <c r="E17" s="4" t="n"/>
      <c r="F17" s="4" t="n"/>
      <c r="G17" s="4" t="n"/>
      <c r="H17" s="4" t="n"/>
      <c r="I17" s="4" t="n"/>
      <c r="J17" s="4" t="n"/>
    </row>
    <row r="18">
      <c r="A18" s="4" t="inlineStr">
        <is>
          <t>A-017</t>
        </is>
      </c>
      <c r="B18" s="4" t="n"/>
      <c r="C18" s="4" t="n"/>
      <c r="D18" s="4" t="n"/>
      <c r="E18" s="4" t="n"/>
      <c r="F18" s="4" t="n"/>
      <c r="G18" s="4" t="n"/>
      <c r="H18" s="4" t="n"/>
      <c r="I18" s="4" t="n"/>
      <c r="J18" s="4" t="n"/>
    </row>
    <row r="19">
      <c r="A19" s="4" t="inlineStr">
        <is>
          <t>A-018</t>
        </is>
      </c>
      <c r="B19" s="4" t="n"/>
      <c r="C19" s="4" t="n"/>
      <c r="D19" s="4" t="n"/>
      <c r="E19" s="4" t="n"/>
      <c r="F19" s="4" t="n"/>
      <c r="G19" s="4" t="n"/>
      <c r="H19" s="4" t="n"/>
      <c r="I19" s="4" t="n"/>
      <c r="J19" s="4" t="n"/>
    </row>
    <row r="20">
      <c r="A20" s="4" t="inlineStr">
        <is>
          <t>A-019</t>
        </is>
      </c>
      <c r="B20" s="4" t="n"/>
      <c r="C20" s="4" t="n"/>
      <c r="D20" s="4" t="n"/>
      <c r="E20" s="4" t="n"/>
      <c r="F20" s="4" t="n"/>
      <c r="G20" s="4" t="n"/>
      <c r="H20" s="4" t="n"/>
      <c r="I20" s="4" t="n"/>
      <c r="J20" s="4" t="n"/>
    </row>
    <row r="21">
      <c r="A21" s="4" t="inlineStr">
        <is>
          <t>A-020</t>
        </is>
      </c>
      <c r="B21" s="4" t="n"/>
      <c r="C21" s="4" t="n"/>
      <c r="D21" s="4" t="n"/>
      <c r="E21" s="4" t="n"/>
      <c r="F21" s="4" t="n"/>
      <c r="G21" s="4" t="n"/>
      <c r="H21" s="4" t="n"/>
      <c r="I21" s="4" t="n"/>
      <c r="J21" s="4" t="n"/>
    </row>
    <row r="22">
      <c r="A22" s="4" t="inlineStr">
        <is>
          <t>A-021</t>
        </is>
      </c>
      <c r="B22" s="4" t="n"/>
      <c r="C22" s="4" t="n"/>
      <c r="D22" s="4" t="n"/>
      <c r="E22" s="4" t="n"/>
      <c r="F22" s="4" t="n"/>
      <c r="G22" s="4" t="n"/>
      <c r="H22" s="4" t="n"/>
      <c r="I22" s="4" t="n"/>
      <c r="J22" s="4" t="n"/>
    </row>
    <row r="23">
      <c r="A23" s="4" t="inlineStr">
        <is>
          <t>A-022</t>
        </is>
      </c>
      <c r="B23" s="4" t="n"/>
      <c r="C23" s="4" t="n"/>
      <c r="D23" s="4" t="n"/>
      <c r="E23" s="4" t="n"/>
      <c r="F23" s="4" t="n"/>
      <c r="G23" s="4" t="n"/>
      <c r="H23" s="4" t="n"/>
      <c r="I23" s="4" t="n"/>
      <c r="J23" s="4" t="n"/>
    </row>
    <row r="24">
      <c r="A24" s="4" t="inlineStr">
        <is>
          <t>A-023</t>
        </is>
      </c>
      <c r="B24" s="4" t="n"/>
      <c r="C24" s="4" t="n"/>
      <c r="D24" s="4" t="n"/>
      <c r="E24" s="4" t="n"/>
      <c r="F24" s="4" t="n"/>
      <c r="G24" s="4" t="n"/>
      <c r="H24" s="4" t="n"/>
      <c r="I24" s="4" t="n"/>
      <c r="J24" s="4" t="n"/>
    </row>
    <row r="25">
      <c r="A25" s="4" t="inlineStr">
        <is>
          <t>A-024</t>
        </is>
      </c>
      <c r="B25" s="4" t="n"/>
      <c r="C25" s="4" t="n"/>
      <c r="D25" s="4" t="n"/>
      <c r="E25" s="4" t="n"/>
      <c r="F25" s="4" t="n"/>
      <c r="G25" s="4" t="n"/>
      <c r="H25" s="4" t="n"/>
      <c r="I25" s="4" t="n"/>
      <c r="J25" s="4" t="n"/>
    </row>
    <row r="26">
      <c r="A26" s="4" t="inlineStr">
        <is>
          <t>A-025</t>
        </is>
      </c>
      <c r="B26" s="4" t="n"/>
      <c r="C26" s="4" t="n"/>
      <c r="D26" s="4" t="n"/>
      <c r="E26" s="4" t="n"/>
      <c r="F26" s="4" t="n"/>
      <c r="G26" s="4" t="n"/>
      <c r="H26" s="4" t="n"/>
      <c r="I26" s="4" t="n"/>
      <c r="J26" s="4" t="n"/>
    </row>
    <row r="27">
      <c r="A27" s="4" t="inlineStr">
        <is>
          <t>A-026</t>
        </is>
      </c>
      <c r="B27" s="4" t="n"/>
      <c r="C27" s="4" t="n"/>
      <c r="D27" s="4" t="n"/>
      <c r="E27" s="4" t="n"/>
      <c r="F27" s="4" t="n"/>
      <c r="G27" s="4" t="n"/>
      <c r="H27" s="4" t="n"/>
      <c r="I27" s="4" t="n"/>
      <c r="J27" s="4" t="n"/>
    </row>
    <row r="28">
      <c r="A28" s="4" t="inlineStr">
        <is>
          <t>A-027</t>
        </is>
      </c>
      <c r="B28" s="4" t="n"/>
      <c r="C28" s="4" t="n"/>
      <c r="D28" s="4" t="n"/>
      <c r="E28" s="4" t="n"/>
      <c r="F28" s="4" t="n"/>
      <c r="G28" s="4" t="n"/>
      <c r="H28" s="4" t="n"/>
      <c r="I28" s="4" t="n"/>
      <c r="J28" s="4" t="n"/>
    </row>
    <row r="29">
      <c r="A29" s="4" t="inlineStr">
        <is>
          <t>A-028</t>
        </is>
      </c>
      <c r="B29" s="4" t="n"/>
      <c r="C29" s="4" t="n"/>
      <c r="D29" s="4" t="n"/>
      <c r="E29" s="4" t="n"/>
      <c r="F29" s="4" t="n"/>
      <c r="G29" s="4" t="n"/>
      <c r="H29" s="4" t="n"/>
      <c r="I29" s="4" t="n"/>
      <c r="J29" s="4" t="n"/>
    </row>
    <row r="30">
      <c r="A30" s="4" t="inlineStr">
        <is>
          <t>A-029</t>
        </is>
      </c>
      <c r="B30" s="4" t="n"/>
      <c r="C30" s="4" t="n"/>
      <c r="D30" s="4" t="n"/>
      <c r="E30" s="4" t="n"/>
      <c r="F30" s="4" t="n"/>
      <c r="G30" s="4" t="n"/>
      <c r="H30" s="4" t="n"/>
      <c r="I30" s="4" t="n"/>
      <c r="J30" s="4" t="n"/>
    </row>
    <row r="31">
      <c r="A31" s="4" t="inlineStr">
        <is>
          <t>A-030</t>
        </is>
      </c>
      <c r="B31" s="4" t="n"/>
      <c r="C31" s="4" t="n"/>
      <c r="D31" s="4" t="n"/>
      <c r="E31" s="4" t="n"/>
      <c r="F31" s="4" t="n"/>
      <c r="G31" s="4" t="n"/>
      <c r="H31" s="4" t="n"/>
      <c r="I31" s="4" t="n"/>
      <c r="J31" s="4" t="n"/>
    </row>
    <row r="32">
      <c r="A32" s="4" t="inlineStr">
        <is>
          <t>A-031</t>
        </is>
      </c>
      <c r="B32" s="4" t="n"/>
      <c r="C32" s="4" t="n"/>
      <c r="D32" s="4" t="n"/>
      <c r="E32" s="4" t="n"/>
      <c r="F32" s="4" t="n"/>
      <c r="G32" s="4" t="n"/>
      <c r="H32" s="4" t="n"/>
      <c r="I32" s="4" t="n"/>
      <c r="J32" s="4" t="n"/>
    </row>
    <row r="33">
      <c r="A33" s="4" t="inlineStr">
        <is>
          <t>A-032</t>
        </is>
      </c>
      <c r="B33" s="4" t="n"/>
      <c r="C33" s="4" t="n"/>
      <c r="D33" s="4" t="n"/>
      <c r="E33" s="4" t="n"/>
      <c r="F33" s="4" t="n"/>
      <c r="G33" s="4" t="n"/>
      <c r="H33" s="4" t="n"/>
      <c r="I33" s="4" t="n"/>
      <c r="J33" s="4" t="n"/>
    </row>
    <row r="34">
      <c r="A34" s="4" t="inlineStr">
        <is>
          <t>A-033</t>
        </is>
      </c>
      <c r="B34" s="4" t="n"/>
      <c r="C34" s="4" t="n"/>
      <c r="D34" s="4" t="n"/>
      <c r="E34" s="4" t="n"/>
      <c r="F34" s="4" t="n"/>
      <c r="G34" s="4" t="n"/>
      <c r="H34" s="4" t="n"/>
      <c r="I34" s="4" t="n"/>
      <c r="J34" s="4" t="n"/>
    </row>
    <row r="35">
      <c r="A35" s="4" t="inlineStr">
        <is>
          <t>A-034</t>
        </is>
      </c>
      <c r="B35" s="4" t="n"/>
      <c r="C35" s="4" t="n"/>
      <c r="D35" s="4" t="n"/>
      <c r="E35" s="4" t="n"/>
      <c r="F35" s="4" t="n"/>
      <c r="G35" s="4" t="n"/>
      <c r="H35" s="4" t="n"/>
      <c r="I35" s="4" t="n"/>
      <c r="J35" s="4" t="n"/>
    </row>
    <row r="36">
      <c r="A36" s="4" t="inlineStr">
        <is>
          <t>A-035</t>
        </is>
      </c>
      <c r="B36" s="4" t="n"/>
      <c r="C36" s="4" t="n"/>
      <c r="D36" s="4" t="n"/>
      <c r="E36" s="4" t="n"/>
      <c r="F36" s="4" t="n"/>
      <c r="G36" s="4" t="n"/>
      <c r="H36" s="4" t="n"/>
      <c r="I36" s="4" t="n"/>
      <c r="J36" s="4" t="n"/>
    </row>
    <row r="37">
      <c r="A37" s="4" t="inlineStr">
        <is>
          <t>A-036</t>
        </is>
      </c>
      <c r="B37" s="4" t="n"/>
      <c r="C37" s="4" t="n"/>
      <c r="D37" s="4" t="n"/>
      <c r="E37" s="4" t="n"/>
      <c r="F37" s="4" t="n"/>
      <c r="G37" s="4" t="n"/>
      <c r="H37" s="4" t="n"/>
      <c r="I37" s="4" t="n"/>
      <c r="J37" s="4" t="n"/>
    </row>
    <row r="38">
      <c r="A38" s="4" t="inlineStr">
        <is>
          <t>A-037</t>
        </is>
      </c>
      <c r="B38" s="4" t="n"/>
      <c r="C38" s="4" t="n"/>
      <c r="D38" s="4" t="n"/>
      <c r="E38" s="4" t="n"/>
      <c r="F38" s="4" t="n"/>
      <c r="G38" s="4" t="n"/>
      <c r="H38" s="4" t="n"/>
      <c r="I38" s="4" t="n"/>
      <c r="J38" s="4" t="n"/>
    </row>
    <row r="39">
      <c r="A39" s="4" t="inlineStr">
        <is>
          <t>A-038</t>
        </is>
      </c>
      <c r="B39" s="4" t="n"/>
      <c r="C39" s="4" t="n"/>
      <c r="D39" s="4" t="n"/>
      <c r="E39" s="4" t="n"/>
      <c r="F39" s="4" t="n"/>
      <c r="G39" s="4" t="n"/>
      <c r="H39" s="4" t="n"/>
      <c r="I39" s="4" t="n"/>
      <c r="J39" s="4" t="n"/>
    </row>
    <row r="40">
      <c r="A40" s="4" t="inlineStr">
        <is>
          <t>A-039</t>
        </is>
      </c>
      <c r="B40" s="4" t="n"/>
      <c r="C40" s="4" t="n"/>
      <c r="D40" s="4" t="n"/>
      <c r="E40" s="4" t="n"/>
      <c r="F40" s="4" t="n"/>
      <c r="G40" s="4" t="n"/>
      <c r="H40" s="4" t="n"/>
      <c r="I40" s="4" t="n"/>
      <c r="J40" s="4" t="n"/>
    </row>
    <row r="41">
      <c r="A41" s="4" t="inlineStr">
        <is>
          <t>A-040</t>
        </is>
      </c>
      <c r="B41" s="4" t="n"/>
      <c r="C41" s="4" t="n"/>
      <c r="D41" s="4" t="n"/>
      <c r="E41" s="4" t="n"/>
      <c r="F41" s="4" t="n"/>
      <c r="G41" s="4" t="n"/>
      <c r="H41" s="4" t="n"/>
      <c r="I41" s="4" t="n"/>
      <c r="J41" s="4" t="n"/>
    </row>
    <row r="42">
      <c r="A42" s="4" t="inlineStr">
        <is>
          <t>A-041</t>
        </is>
      </c>
      <c r="B42" s="4" t="n"/>
      <c r="C42" s="4" t="n"/>
      <c r="D42" s="4" t="n"/>
      <c r="E42" s="4" t="n"/>
      <c r="F42" s="4" t="n"/>
      <c r="G42" s="4" t="n"/>
      <c r="H42" s="4" t="n"/>
      <c r="I42" s="4" t="n"/>
      <c r="J42" s="4" t="n"/>
    </row>
    <row r="43">
      <c r="A43" s="4" t="inlineStr">
        <is>
          <t>A-042</t>
        </is>
      </c>
      <c r="B43" s="4" t="n"/>
      <c r="C43" s="4" t="n"/>
      <c r="D43" s="4" t="n"/>
      <c r="E43" s="4" t="n"/>
      <c r="F43" s="4" t="n"/>
      <c r="G43" s="4" t="n"/>
      <c r="H43" s="4" t="n"/>
      <c r="I43" s="4" t="n"/>
      <c r="J43" s="4" t="n"/>
    </row>
    <row r="44">
      <c r="A44" s="4" t="inlineStr">
        <is>
          <t>A-043</t>
        </is>
      </c>
      <c r="B44" s="4" t="n"/>
      <c r="C44" s="4" t="n"/>
      <c r="D44" s="4" t="n"/>
      <c r="E44" s="4" t="n"/>
      <c r="F44" s="4" t="n"/>
      <c r="G44" s="4" t="n"/>
      <c r="H44" s="4" t="n"/>
      <c r="I44" s="4" t="n"/>
      <c r="J44" s="4" t="n"/>
    </row>
    <row r="45">
      <c r="A45" s="4" t="inlineStr">
        <is>
          <t>A-044</t>
        </is>
      </c>
      <c r="B45" s="4" t="n"/>
      <c r="C45" s="4" t="n"/>
      <c r="D45" s="4" t="n"/>
      <c r="E45" s="4" t="n"/>
      <c r="F45" s="4" t="n"/>
      <c r="G45" s="4" t="n"/>
      <c r="H45" s="4" t="n"/>
      <c r="I45" s="4" t="n"/>
      <c r="J45" s="4" t="n"/>
    </row>
    <row r="46">
      <c r="A46" s="4" t="inlineStr">
        <is>
          <t>A-045</t>
        </is>
      </c>
      <c r="B46" s="4" t="n"/>
      <c r="C46" s="4" t="n"/>
      <c r="D46" s="4" t="n"/>
      <c r="E46" s="4" t="n"/>
      <c r="F46" s="4" t="n"/>
      <c r="G46" s="4" t="n"/>
      <c r="H46" s="4" t="n"/>
      <c r="I46" s="4" t="n"/>
      <c r="J46" s="4" t="n"/>
    </row>
    <row r="47">
      <c r="A47" s="4" t="inlineStr">
        <is>
          <t>A-046</t>
        </is>
      </c>
      <c r="B47" s="4" t="n"/>
      <c r="C47" s="4" t="n"/>
      <c r="D47" s="4" t="n"/>
      <c r="E47" s="4" t="n"/>
      <c r="F47" s="4" t="n"/>
      <c r="G47" s="4" t="n"/>
      <c r="H47" s="4" t="n"/>
      <c r="I47" s="4" t="n"/>
      <c r="J47" s="4" t="n"/>
    </row>
    <row r="48">
      <c r="A48" s="4" t="inlineStr">
        <is>
          <t>A-047</t>
        </is>
      </c>
      <c r="B48" s="4" t="n"/>
      <c r="C48" s="4" t="n"/>
      <c r="D48" s="4" t="n"/>
      <c r="E48" s="4" t="n"/>
      <c r="F48" s="4" t="n"/>
      <c r="G48" s="4" t="n"/>
      <c r="H48" s="4" t="n"/>
      <c r="I48" s="4" t="n"/>
      <c r="J48" s="4" t="n"/>
    </row>
    <row r="49">
      <c r="A49" s="4" t="inlineStr">
        <is>
          <t>A-048</t>
        </is>
      </c>
      <c r="B49" s="4" t="n"/>
      <c r="C49" s="4" t="n"/>
      <c r="D49" s="4" t="n"/>
      <c r="E49" s="4" t="n"/>
      <c r="F49" s="4" t="n"/>
      <c r="G49" s="4" t="n"/>
      <c r="H49" s="4" t="n"/>
      <c r="I49" s="4" t="n"/>
      <c r="J49" s="4" t="n"/>
    </row>
    <row r="50">
      <c r="A50" s="4" t="inlineStr">
        <is>
          <t>A-049</t>
        </is>
      </c>
      <c r="B50" s="4" t="n"/>
      <c r="C50" s="4" t="n"/>
      <c r="D50" s="4" t="n"/>
      <c r="E50" s="4" t="n"/>
      <c r="F50" s="4" t="n"/>
      <c r="G50" s="4" t="n"/>
      <c r="H50" s="4" t="n"/>
      <c r="I50" s="4" t="n"/>
      <c r="J50" s="4" t="n"/>
    </row>
    <row r="51">
      <c r="A51" s="4" t="inlineStr">
        <is>
          <t>A-050</t>
        </is>
      </c>
      <c r="B51" s="4" t="n"/>
      <c r="C51" s="4" t="n"/>
      <c r="D51" s="4" t="n"/>
      <c r="E51" s="4" t="n"/>
      <c r="F51" s="4" t="n"/>
      <c r="G51" s="4" t="n"/>
      <c r="H51" s="4" t="n"/>
      <c r="I51" s="4" t="n"/>
      <c r="J51" s="4" t="n"/>
    </row>
  </sheetData>
  <autoFilter ref="A1:J51"/>
  <dataValidations count="2">
    <dataValidation sqref="F2:F51" showDropDown="0" showInputMessage="0" showErrorMessage="0" allowBlank="1" type="list">
      <formula1>"Open,In Progress,Completed,Deferred,Cancelled"</formula1>
    </dataValidation>
    <dataValidation sqref="I2:I51"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20" customWidth="1" min="2" max="2"/>
  </cols>
  <sheetData>
    <row r="1">
      <c r="A1" s="7" t="inlineStr">
        <is>
          <t>DFMEA Summary Dashboard</t>
        </is>
      </c>
    </row>
    <row r="3">
      <c r="A3" s="2" t="inlineStr">
        <is>
          <t>Total Failure Modes</t>
        </is>
      </c>
      <c r="B3">
        <f>COUNTA('DFMEA Template'!C9:C108)</f>
        <v/>
      </c>
    </row>
    <row r="4">
      <c r="A4" s="2" t="inlineStr">
        <is>
          <t>High Action Priority</t>
        </is>
      </c>
      <c r="B4">
        <f>COUNTIF('DFMEA Template'!M9:M108,"High")</f>
        <v/>
      </c>
    </row>
    <row r="5">
      <c r="A5" s="2" t="inlineStr">
        <is>
          <t>Medium Action Priority</t>
        </is>
      </c>
      <c r="B5">
        <f>COUNTIF('DFMEA Template'!M9:M108,"Medium")</f>
        <v/>
      </c>
    </row>
    <row r="6">
      <c r="A6" s="2" t="inlineStr">
        <is>
          <t>Low Action Priority</t>
        </is>
      </c>
      <c r="B6">
        <f>COUNTIF('DFMEA Template'!M9:M108,"Low")</f>
        <v/>
      </c>
    </row>
    <row r="7">
      <c r="A7" s="2" t="inlineStr">
        <is>
          <t>Open Actions</t>
        </is>
      </c>
      <c r="B7">
        <f>COUNTIF('DFMEA Template'!Q9:Q108,"Open")</f>
        <v/>
      </c>
    </row>
    <row r="8">
      <c r="A8" s="2" t="inlineStr">
        <is>
          <t>Completed Actions</t>
        </is>
      </c>
      <c r="B8">
        <f>COUNTIF('DFMEA Template'!Q9:Q108,"Completed")</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K, Sudheesh</dc:creator>
  <dcterms:created xsi:type="dcterms:W3CDTF">2026-06-10T14:58:40.5994625Z</dcterms:created>
  <dcterms:modified xsi:type="dcterms:W3CDTF">2026-06-10T14:58:40.5994625Z</dcterms:modified>
  <lastModifiedBy>K, Sudheesh</lastModifiedBy>
</coreProperties>
</file>